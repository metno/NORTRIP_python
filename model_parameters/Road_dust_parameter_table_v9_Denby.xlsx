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7E6DC390-E749-49BB-8DE0-7A613CB53EEB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Parameters" sheetId="1" r:id="rId1"/>
    <sheet name="Flags" sheetId="2" r:id="rId2"/>
    <sheet name="Activities" sheetId="3" r:id="rId3"/>
    <sheet name="Parameters_simai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5" i="5" l="1"/>
  <c r="B174" i="5"/>
  <c r="B173" i="5"/>
  <c r="B172" i="5"/>
  <c r="B171" i="5"/>
  <c r="H167" i="5"/>
  <c r="B167" i="5"/>
  <c r="B162" i="5"/>
  <c r="H160" i="5"/>
  <c r="H159" i="5"/>
  <c r="J138" i="5"/>
  <c r="I138" i="5"/>
  <c r="H138" i="5"/>
  <c r="D138" i="5"/>
  <c r="D137" i="5"/>
  <c r="C137" i="5"/>
  <c r="E120" i="5"/>
  <c r="D120" i="5"/>
  <c r="C120" i="5"/>
  <c r="B119" i="5"/>
  <c r="E119" i="5" s="1"/>
  <c r="E117" i="5"/>
  <c r="D117" i="5"/>
  <c r="C117" i="5" s="1"/>
  <c r="C108" i="5"/>
  <c r="C107" i="5"/>
  <c r="C106" i="5"/>
  <c r="C105" i="5"/>
  <c r="E103" i="5"/>
  <c r="E102" i="5"/>
  <c r="E101" i="5"/>
  <c r="D101" i="5"/>
  <c r="D98" i="5"/>
  <c r="D105" i="5" s="1"/>
  <c r="D72" i="5"/>
  <c r="C72" i="5"/>
  <c r="B72" i="5"/>
  <c r="D65" i="5"/>
  <c r="C65" i="5"/>
  <c r="B65" i="5"/>
  <c r="D48" i="5"/>
  <c r="D47" i="5" s="1"/>
  <c r="C48" i="5"/>
  <c r="C47" i="5" s="1"/>
  <c r="B48" i="5"/>
  <c r="B47" i="5" s="1"/>
  <c r="J36" i="5"/>
  <c r="J33" i="5"/>
  <c r="D18" i="5"/>
  <c r="C18" i="5"/>
  <c r="B18" i="5"/>
  <c r="D12" i="5"/>
  <c r="C12" i="5"/>
  <c r="B12" i="5"/>
  <c r="D7" i="5"/>
  <c r="D6" i="5" s="1"/>
  <c r="C7" i="5"/>
  <c r="C6" i="5" s="1"/>
  <c r="B7" i="5"/>
  <c r="B6" i="5"/>
  <c r="M5" i="5"/>
  <c r="H7" i="5" s="1"/>
  <c r="K7" i="5" s="1"/>
  <c r="L5" i="5"/>
  <c r="J7" i="5" l="1"/>
  <c r="I7" i="5"/>
  <c r="D119" i="5"/>
  <c r="C119" i="5"/>
  <c r="E98" i="5"/>
  <c r="D106" i="5"/>
  <c r="E105" i="5" l="1"/>
  <c r="E106" i="5"/>
  <c r="B132" i="1" l="1"/>
  <c r="B131" i="1" s="1"/>
  <c r="B113" i="1"/>
  <c r="E96" i="1"/>
  <c r="E97" i="1"/>
  <c r="D18" i="1"/>
  <c r="C18" i="1"/>
  <c r="B18" i="1"/>
  <c r="D12" i="1"/>
  <c r="C12" i="1"/>
  <c r="B12" i="1"/>
  <c r="C132" i="1" l="1"/>
  <c r="C131" i="1" s="1"/>
  <c r="D132" i="1"/>
  <c r="D131" i="1" s="1"/>
  <c r="C102" i="1"/>
  <c r="C101" i="1"/>
  <c r="C100" i="1"/>
  <c r="C99" i="1"/>
  <c r="E95" i="1"/>
  <c r="D95" i="1"/>
  <c r="D92" i="1"/>
  <c r="E92" i="1" s="1"/>
  <c r="H132" i="1"/>
  <c r="J132" i="1" s="1"/>
  <c r="B161" i="1"/>
  <c r="E99" i="1" l="1"/>
  <c r="E100" i="1"/>
  <c r="D99" i="1"/>
  <c r="D100" i="1"/>
  <c r="I132" i="1"/>
  <c r="H161" i="1"/>
  <c r="B157" i="1" l="1"/>
  <c r="B7" i="1" l="1"/>
  <c r="D7" i="1" l="1"/>
  <c r="C7" i="1"/>
  <c r="E111" i="1"/>
  <c r="D111" i="1"/>
  <c r="C111" i="1" s="1"/>
  <c r="E114" i="1" l="1"/>
  <c r="D114" i="1"/>
  <c r="C114" i="1"/>
  <c r="B165" i="1" l="1"/>
  <c r="B166" i="1" l="1"/>
  <c r="C113" i="1" l="1"/>
  <c r="D113" i="1" l="1"/>
  <c r="M5" i="1"/>
  <c r="H7" i="1" s="1"/>
  <c r="K7" i="1" s="1"/>
  <c r="L5" i="1"/>
  <c r="C6" i="1"/>
  <c r="E113" i="1" l="1"/>
  <c r="B169" i="1" l="1"/>
  <c r="B168" i="1"/>
  <c r="B167" i="1"/>
  <c r="D42" i="1" l="1"/>
  <c r="D41" i="1" s="1"/>
  <c r="B59" i="1" l="1"/>
  <c r="C59" i="1"/>
  <c r="D59" i="1"/>
  <c r="H153" i="1" l="1"/>
  <c r="H154" i="1" s="1"/>
  <c r="I7" i="1" l="1"/>
  <c r="J7" i="1"/>
  <c r="D6" i="1"/>
  <c r="B6" i="1"/>
  <c r="C42" i="1" l="1"/>
  <c r="C41" i="1" s="1"/>
  <c r="B42" i="1" l="1"/>
  <c r="B41" i="1" s="1"/>
  <c r="B156" i="1" l="1"/>
  <c r="C66" i="1" l="1"/>
  <c r="D66" i="1"/>
  <c r="B66" i="1"/>
</calcChain>
</file>

<file path=xl/sharedStrings.xml><?xml version="1.0" encoding="utf-8"?>
<sst xmlns="http://schemas.openxmlformats.org/spreadsheetml/2006/main" count="905" uniqueCount="458">
  <si>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</si>
  <si>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</si>
  <si>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</si>
  <si>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</si>
  <si>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</si>
  <si>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</si>
  <si>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</si>
  <si>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</si>
  <si>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</si>
  <si>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</si>
  <si>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</si>
  <si>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</si>
  <si>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</si>
  <si>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</si>
  <si>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</si>
  <si>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</si>
  <si>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</si>
  <si>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</si>
  <si>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</si>
  <si>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</si>
  <si>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</si>
  <si>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</si>
  <si>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</si>
  <si>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</si>
  <si>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</si>
  <si>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</si>
  <si>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</si>
  <si>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</si>
  <si>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</si>
  <si>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</si>
  <si>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</si>
  <si>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</si>
  <si>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</si>
  <si>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</si>
  <si>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</si>
  <si>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</si>
  <si>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</si>
  <si>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</si>
  <si>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</si>
  <si>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</si>
  <si>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</si>
  <si>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</si>
  <si>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</si>
  <si>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</si>
  <si>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</si>
  <si>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</si>
  <si>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</si>
  <si>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</si>
  <si>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</si>
  <si>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</si>
  <si>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</si>
  <si>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</si>
  <si>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</si>
  <si>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</si>
  <si>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</si>
  <si>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</si>
  <si>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</si>
  <si>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</si>
  <si>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</si>
  <si>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</si>
  <si>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</si>
  <si>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</si>
  <si>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</si>
  <si>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</si>
  <si>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</si>
  <si>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</si>
  <si>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</si>
  <si>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</si>
  <si>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</si>
  <si>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</si>
  <si>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</si>
  <si>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</si>
  <si>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</si>
  <si>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</si>
  <si>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</si>
  <si>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</si>
  <si>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</si>
  <si>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</si>
  <si>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</si>
  <si>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</si>
  <si>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</si>
  <si>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</si>
  <si>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</si>
  <si>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</si>
  <si>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</si>
  <si>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</si>
  <si>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</si>
  <si>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</si>
  <si>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</si>
  <si>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</si>
  <si>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</si>
  <si>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</si>
  <si>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</si>
  <si>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</si>
  <si>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</si>
  <si>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</si>
  <si>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</si>
  <si>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</si>
  <si>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</si>
  <si>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</si>
  <si>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</si>
  <si>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</si>
  <si>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</si>
  <si>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</si>
  <si>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</si>
  <si>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</si>
  <si>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</si>
  <si>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</si>
  <si>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</si>
  <si>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</si>
  <si>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</si>
  <si>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</si>
  <si>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</si>
  <si>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</si>
  <si>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</si>
  <si>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</si>
  <si>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</si>
  <si>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</si>
  <si>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</si>
  <si>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</si>
  <si>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</si>
  <si>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</si>
  <si>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</si>
  <si>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</si>
  <si>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</si>
  <si>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</si>
  <si>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</si>
  <si>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</si>
  <si>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</si>
  <si>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</si>
  <si>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</si>
  <si>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</si>
  <si>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</si>
  <si>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</si>
  <si>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</si>
  <si>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</si>
  <si>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</si>
  <si>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</si>
  <si>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</si>
  <si>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</si>
  <si>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</si>
  <si>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</si>
  <si>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</si>
  <si>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</si>
  <si>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</si>
  <si>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</si>
  <si>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</si>
  <si>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</si>
  <si>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</si>
  <si>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</si>
  <si>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</si>
  <si>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</si>
  <si>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</si>
  <si>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</si>
  <si>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</si>
  <si>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</si>
  <si>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</si>
  <si>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</si>
  <si>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</si>
  <si>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</si>
  <si>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</si>
  <si>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</si>
  <si>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</si>
  <si>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</si>
  <si>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</si>
  <si>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</si>
  <si>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</si>
  <si>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</si>
  <si>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</si>
  <si>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</si>
  <si>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</si>
  <si>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</si>
  <si>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</si>
  <si>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</si>
  <si>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</si>
  <si>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</si>
  <si>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</si>
  <si>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</si>
  <si>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</si>
  <si>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</si>
  <si>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</si>
  <si>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</si>
  <si>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</si>
  <si>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</si>
  <si>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</si>
  <si>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</si>
  <si>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</si>
  <si>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</si>
  <si>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</si>
  <si>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</si>
  <si>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</si>
  <si>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</si>
  <si>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</si>
  <si>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</si>
  <si>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</si>
  <si>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</si>
  <si>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</si>
  <si>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</si>
  <si>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</si>
  <si>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</si>
  <si>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</si>
  <si>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</si>
  <si>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</si>
  <si>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</si>
  <si>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</si>
  <si>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</si>
  <si>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</si>
  <si>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</si>
  <si>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</si>
  <si>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</si>
  <si>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</si>
  <si>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</si>
  <si>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</si>
  <si>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</si>
  <si>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ploughing_thresh (mm)</t>
  </si>
  <si>
    <t>delay_ploughing_hour (hr)</t>
  </si>
  <si>
    <t>Overrides existing parameter, threshold at which ploughing occurs, set in Parameter table.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</si>
  <si>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</si>
  <si>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</si>
  <si>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</si>
  <si>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</si>
  <si>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</si>
  <si>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</si>
  <si>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</si>
  <si>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</si>
  <si>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</si>
  <si>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</si>
  <si>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</si>
  <si>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</si>
  <si>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</si>
  <si>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</si>
  <si>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</si>
  <si>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</si>
  <si>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</si>
  <si>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</si>
  <si>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</si>
  <si>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</si>
  <si>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</si>
  <si>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</si>
  <si>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</si>
  <si>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</si>
  <si>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</si>
  <si>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</si>
  <si>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</si>
  <si>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</si>
  <si>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</si>
  <si>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</si>
  <si>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</si>
  <si>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</si>
  <si>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</si>
  <si>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</si>
  <si>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</si>
  <si>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</si>
  <si>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</si>
  <si>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</si>
  <si>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</si>
  <si>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</si>
  <si>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</si>
  <si>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</si>
  <si>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</si>
  <si>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</si>
  <si>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</si>
  <si>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</si>
  <si>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</si>
  <si>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</si>
  <si>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</si>
  <si>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</si>
  <si>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</si>
  <si>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</si>
  <si>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</si>
  <si>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</si>
  <si>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</si>
  <si>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</si>
  <si>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</si>
  <si>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</si>
  <si>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</si>
  <si>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</si>
  <si>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</si>
  <si>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</si>
  <si>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</si>
  <si>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</si>
  <si>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</si>
  <si>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</si>
  <si>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</si>
  <si>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</si>
  <si>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</si>
  <si>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</si>
  <si>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</si>
  <si>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</si>
  <si>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</si>
  <si>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</si>
  <si>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</si>
  <si>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</si>
  <si>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</si>
  <si>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</si>
  <si>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</si>
  <si>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</si>
  <si>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</si>
  <si>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</si>
  <si>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</si>
  <si>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</si>
  <si>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</si>
  <si>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</si>
  <si>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</si>
  <si>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</si>
  <si>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</si>
  <si>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</si>
  <si>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</si>
  <si>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</si>
  <si>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</si>
  <si>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</si>
  <si>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</si>
  <si>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</si>
  <si>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</si>
  <si>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</si>
  <si>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</si>
  <si>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</si>
  <si>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</si>
  <si>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</si>
  <si>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</si>
  <si>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</si>
  <si>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</si>
  <si>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</si>
  <si>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</si>
  <si>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</si>
  <si>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</si>
  <si>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</si>
  <si>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</si>
  <si>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</si>
  <si>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</si>
  <si>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</si>
  <si>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</si>
  <si>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</si>
  <si>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</si>
  <si>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</si>
  <si>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</si>
  <si>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</si>
  <si>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</si>
  <si>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</si>
  <si>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</si>
  <si>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</si>
  <si>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</si>
  <si>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</si>
  <si>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</si>
  <si>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</si>
  <si>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</si>
  <si>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</si>
  <si>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</si>
  <si>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</si>
  <si>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</si>
  <si>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</si>
  <si>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</si>
  <si>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</si>
  <si>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</si>
  <si>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</si>
  <si>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</si>
  <si>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</si>
  <si>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</si>
  <si>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</si>
  <si>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</si>
  <si>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</si>
  <si>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</si>
  <si>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</si>
  <si>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</si>
  <si>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</si>
  <si>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</si>
  <si>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</si>
  <si>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</si>
  <si>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</si>
  <si>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</si>
  <si>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</si>
  <si>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</si>
  <si>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</si>
  <si>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</si>
  <si>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</si>
  <si>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</si>
  <si>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</si>
  <si>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</si>
  <si>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</si>
  <si>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</si>
  <si>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</si>
  <si>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</si>
  <si>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</si>
  <si>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</si>
  <si>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</si>
  <si>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</si>
  <si>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</si>
  <si>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</si>
  <si>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</si>
  <si>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</si>
  <si>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</si>
  <si>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</si>
  <si>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</si>
  <si>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</si>
  <si>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</si>
  <si>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</si>
  <si>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</si>
  <si>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</si>
  <si>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</si>
  <si>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</si>
  <si>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</si>
  <si>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</si>
  <si>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</si>
  <si>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</si>
  <si>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</si>
  <si>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</si>
  <si>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</si>
  <si>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</si>
  <si>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</si>
  <si>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</si>
  <si>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</si>
  <si>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</si>
  <si>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</si>
  <si>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</si>
  <si>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</si>
  <si>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</si>
  <si>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</si>
  <si>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</si>
  <si>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</si>
  <si>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</si>
  <si>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</si>
  <si>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Allows road salt concentrations to influence the surface humidity and melt temperature.</t>
  </si>
  <si>
    <t>1  = energy balance with ice and sub-surface, 0 = none, 2 = as 1 but counts hoar frost as snow, not ice.</t>
  </si>
  <si>
    <t>retain_water_by_snow_flag</t>
  </si>
  <si>
    <t>If &gt; 0 then scales the snow depth (mm w.e.) to stop the drainage of water.</t>
  </si>
  <si>
    <t>use_melt_freeze_energy_flag</t>
  </si>
  <si>
    <t xml:space="preserve">Include the melting and freezing energy in the surface energy calculations </t>
  </si>
  <si>
    <t xml:space="preserve">use_stability_flag </t>
  </si>
  <si>
    <t>Use atmospheric stability in sensible heat fux calculation. Default is 1 (on)</t>
  </si>
  <si>
    <t>binding_salt_flag</t>
  </si>
  <si>
    <t>Sets the salt type used for binding 1=nacl,2=MgCl, 3=CMA, 4=CaCl2</t>
  </si>
  <si>
    <t>salt_after_ploughing_flag</t>
  </si>
  <si>
    <t>Will salt after all snow ploughing in addition to other salting events</t>
  </si>
  <si>
    <t>cleaning_hour(1) (hour)</t>
  </si>
  <si>
    <t xml:space="preserve">cleaning_hour(2) (hour)  </t>
  </si>
  <si>
    <t xml:space="preserve">First time of day when cleaning can occur </t>
  </si>
  <si>
    <t xml:space="preserve">Second time of day when cleaning can occur   </t>
  </si>
  <si>
    <t>delay_cleaning_hour (day)</t>
  </si>
  <si>
    <t>Minimum time between between cleaning events (days)</t>
  </si>
  <si>
    <t>turned off</t>
  </si>
  <si>
    <t>Turned off</t>
  </si>
  <si>
    <t>Set to 3</t>
  </si>
  <si>
    <t>Changed to 2</t>
  </si>
  <si>
    <t>Not in Simair</t>
  </si>
  <si>
    <t>Not in simair or matlab</t>
  </si>
  <si>
    <t>Reduced to 200, 200 was a scaled value</t>
  </si>
  <si>
    <t>Deleted extra rows</t>
  </si>
  <si>
    <t xml:space="preserve">Hornsgatan              </t>
  </si>
  <si>
    <t xml:space="preserve">Mannerheimintie         </t>
  </si>
  <si>
    <t xml:space="preserve">Essingeleden            </t>
  </si>
  <si>
    <t xml:space="preserve">RV4                     </t>
  </si>
  <si>
    <t xml:space="preserve">NB_sletta               </t>
  </si>
  <si>
    <t xml:space="preserve">HCAB_before_2008        </t>
  </si>
  <si>
    <t xml:space="preserve">Runeberg                </t>
  </si>
  <si>
    <t xml:space="preserve">HCAB_after_2008         </t>
  </si>
  <si>
    <t xml:space="preserve">Stavanger               </t>
  </si>
  <si>
    <t xml:space="preserve">Finish                  </t>
  </si>
  <si>
    <t>Changed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</si>
</sst>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31" fillId="0" borderId="9" xfId="0" applyFont="1" applyBorder="1"/>
    <xf numFmtId="0" fontId="0" fillId="0" borderId="9" xfId="0" applyBorder="1" applyAlignment="1">
      <alignment horizontal="center"/>
    </xf>
    <xf numFmtId="0" fontId="31" fillId="0" borderId="9" xfId="0" applyFont="1" applyBorder="1" applyAlignment="1">
      <alignment horizontal="center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3418524</xdr:colOff>
      <xdr:row>8</xdr:row>
      <xdr:rowOff>33338</xdr:rowOff>
    </xdr:from>
    <xdr:to>
      <xdr:col>10</xdr:col>
      <xdr:colOff>1035370</xdr:colOff>
      <xdr:row>14</xdr:row>
      <xdr:rowOff>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3868" y="1735932"/>
          <a:ext cx="4177190" cy="11682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3418524</xdr:colOff>
      <xdr:row>8</xdr:row>
      <xdr:rowOff>33338</xdr:rowOff>
    </xdr:from>
    <xdr:to>
      <xdr:col>10</xdr:col>
      <xdr:colOff>1035370</xdr:colOff>
      <xdr:row>14</xdr:row>
      <xdr:rowOff>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625E6-D9C7-424F-823C-87CCA370D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6724" y="1728788"/>
          <a:ext cx="4189096" cy="1157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2"/>
  <sheetViews>
    <sheetView topLeftCell="A20" zoomScale="130" zoomScaleNormal="130" workbookViewId="0">
      <selection activeCell="B42" sqref="B42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279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402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0.48</v>
      </c>
      <c r="D6" s="10">
        <f>5*D7</f>
        <v>0.48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B7/30</f>
        <v>9.6000000000000002E-2</v>
      </c>
      <c r="D7" s="66">
        <f>B7/30</f>
        <v>9.6000000000000002E-2</v>
      </c>
      <c r="E7" s="70"/>
      <c r="F7" s="6"/>
      <c r="G7" s="78"/>
      <c r="H7" s="48">
        <f>M5</f>
        <v>4.4553599999999989</v>
      </c>
      <c r="I7" s="49">
        <f>C7*K7</f>
        <v>0.14851199999999998</v>
      </c>
      <c r="J7" s="49">
        <f>D7*K7</f>
        <v>0.14851199999999998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242</v>
      </c>
      <c r="B8" s="41" t="s">
        <v>243</v>
      </c>
      <c r="C8" s="41" t="s">
        <v>244</v>
      </c>
      <c r="D8" s="41" t="s">
        <v>245</v>
      </c>
      <c r="E8" s="41" t="s">
        <v>241</v>
      </c>
      <c r="F8" s="41" t="s">
        <v>355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397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10*B13</f>
        <v>1</v>
      </c>
      <c r="C12" s="10">
        <f>10*C13</f>
        <v>1</v>
      </c>
      <c r="D12" s="10">
        <f>10*D13</f>
        <v>1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242</v>
      </c>
      <c r="B14" s="41" t="s">
        <v>243</v>
      </c>
      <c r="C14" s="41" t="s">
        <v>244</v>
      </c>
      <c r="D14" s="41" t="s">
        <v>245</v>
      </c>
      <c r="E14" s="41" t="s">
        <v>246</v>
      </c>
      <c r="F14" s="41" t="s">
        <v>356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397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407</v>
      </c>
      <c r="J17" s="10">
        <v>1.9</v>
      </c>
    </row>
    <row r="18" spans="1:11" ht="15.75" thickBot="1" x14ac:dyDescent="0.3">
      <c r="A18" s="9" t="s">
        <v>1</v>
      </c>
      <c r="B18" s="10">
        <f>B19*10</f>
        <v>0.1</v>
      </c>
      <c r="C18" s="10">
        <f>C19*10</f>
        <v>0.1</v>
      </c>
      <c r="D18" s="10">
        <f>D19*10</f>
        <v>0.1</v>
      </c>
      <c r="E18" s="6"/>
      <c r="F18" s="6"/>
      <c r="G18" s="78"/>
      <c r="H18" s="9">
        <v>2</v>
      </c>
      <c r="I18" s="10" t="s">
        <v>408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409</v>
      </c>
      <c r="J19" s="10">
        <v>2.9</v>
      </c>
    </row>
    <row r="20" spans="1:11" ht="15" customHeight="1" thickBot="1" x14ac:dyDescent="0.3">
      <c r="A20" s="64" t="s">
        <v>242</v>
      </c>
      <c r="B20" s="41" t="s">
        <v>243</v>
      </c>
      <c r="C20" s="41" t="s">
        <v>244</v>
      </c>
      <c r="D20" s="41" t="s">
        <v>245</v>
      </c>
      <c r="E20" s="41" t="s">
        <v>258</v>
      </c>
      <c r="F20" s="41" t="s">
        <v>357</v>
      </c>
      <c r="G20" s="79"/>
      <c r="H20" s="9">
        <v>4</v>
      </c>
      <c r="I20" s="10" t="s">
        <v>410</v>
      </c>
      <c r="J20" s="10">
        <v>3.6</v>
      </c>
      <c r="K20" s="30"/>
    </row>
    <row r="21" spans="1:11" ht="15" customHeight="1" thickBot="1" x14ac:dyDescent="0.3">
      <c r="A21" s="64" t="s">
        <v>397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411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412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413</v>
      </c>
      <c r="J23" s="10">
        <v>2.56</v>
      </c>
    </row>
    <row r="24" spans="1:11" ht="16.5" thickBot="1" x14ac:dyDescent="0.35">
      <c r="A24" s="13" t="s">
        <v>91</v>
      </c>
      <c r="B24" s="10">
        <v>6</v>
      </c>
      <c r="C24" s="6"/>
      <c r="D24" s="6"/>
      <c r="E24" s="6"/>
      <c r="F24" s="6"/>
      <c r="G24" s="78"/>
      <c r="H24" s="9">
        <v>8</v>
      </c>
      <c r="I24" s="10" t="s">
        <v>414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415</v>
      </c>
      <c r="J25" s="10">
        <v>2.1</v>
      </c>
    </row>
    <row r="26" spans="1:11" ht="15.75" thickBot="1" x14ac:dyDescent="0.3">
      <c r="A26" s="12" t="s">
        <v>131</v>
      </c>
      <c r="B26" s="37">
        <v>4</v>
      </c>
      <c r="C26" s="63"/>
      <c r="D26" s="6"/>
      <c r="E26" s="6"/>
      <c r="F26" s="6"/>
      <c r="G26" s="78" t="s">
        <v>213</v>
      </c>
      <c r="H26" s="9">
        <v>10</v>
      </c>
      <c r="I26" s="10" t="s">
        <v>416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417</v>
      </c>
      <c r="J27" s="10">
        <v>3.11</v>
      </c>
    </row>
    <row r="28" spans="1:11" ht="15.75" thickBot="1" x14ac:dyDescent="0.3">
      <c r="A28" s="9">
        <v>1</v>
      </c>
      <c r="B28" s="10" t="s">
        <v>410</v>
      </c>
      <c r="C28" s="10">
        <v>1</v>
      </c>
      <c r="D28" s="10">
        <v>3.6</v>
      </c>
      <c r="E28" s="6"/>
      <c r="F28" s="6" t="s">
        <v>457</v>
      </c>
      <c r="G28" s="78"/>
      <c r="H28" s="9">
        <v>12</v>
      </c>
      <c r="I28" s="10" t="s">
        <v>418</v>
      </c>
      <c r="J28" s="10">
        <v>3.83</v>
      </c>
    </row>
    <row r="29" spans="1:11" ht="15.75" thickBot="1" x14ac:dyDescent="0.3">
      <c r="A29" s="9">
        <v>2</v>
      </c>
      <c r="B29" s="10" t="s">
        <v>409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408</v>
      </c>
      <c r="C30" s="10">
        <v>2.3199999999999998</v>
      </c>
      <c r="D30" s="6"/>
      <c r="E30" s="6"/>
      <c r="F30" s="6"/>
      <c r="G30" s="78"/>
      <c r="H30" s="30" t="s">
        <v>419</v>
      </c>
      <c r="I30" s="20"/>
    </row>
    <row r="31" spans="1:11" ht="15.75" thickBot="1" x14ac:dyDescent="0.3">
      <c r="A31" s="9">
        <v>4</v>
      </c>
      <c r="B31" s="10" t="s">
        <v>407</v>
      </c>
      <c r="C31" s="10">
        <v>1.9</v>
      </c>
      <c r="D31" s="11"/>
      <c r="E31" s="6"/>
      <c r="F31" s="6"/>
      <c r="G31" s="78" t="s">
        <v>446</v>
      </c>
      <c r="H31" s="30"/>
      <c r="I31" s="20"/>
    </row>
    <row r="32" spans="1:11" ht="25.5" thickBot="1" x14ac:dyDescent="0.3">
      <c r="A32" s="5" t="s">
        <v>7</v>
      </c>
      <c r="B32" s="6"/>
      <c r="C32" s="6"/>
      <c r="D32" s="6"/>
      <c r="E32" s="6"/>
      <c r="F32" s="6"/>
      <c r="G32" s="78"/>
      <c r="H32" s="9">
        <v>6</v>
      </c>
      <c r="I32" s="10" t="s">
        <v>223</v>
      </c>
      <c r="J32" s="10">
        <v>4</v>
      </c>
    </row>
    <row r="33" spans="1:12" ht="15.75" thickBot="1" x14ac:dyDescent="0.3">
      <c r="A33" s="12" t="s">
        <v>132</v>
      </c>
      <c r="B33" s="8">
        <v>4</v>
      </c>
      <c r="C33" s="26"/>
      <c r="D33" s="6"/>
      <c r="E33" s="6"/>
      <c r="F33" s="6"/>
      <c r="G33" s="78"/>
      <c r="H33" s="9">
        <v>7</v>
      </c>
      <c r="I33" s="10" t="s">
        <v>80</v>
      </c>
      <c r="J33" s="10">
        <v>1</v>
      </c>
    </row>
    <row r="34" spans="1:12" ht="17.25" customHeight="1" thickBot="1" x14ac:dyDescent="0.35">
      <c r="A34" s="12" t="s">
        <v>94</v>
      </c>
      <c r="B34" s="8" t="s">
        <v>5</v>
      </c>
      <c r="C34" s="14" t="s">
        <v>95</v>
      </c>
      <c r="D34" s="6"/>
      <c r="E34" s="6"/>
      <c r="F34" s="6"/>
      <c r="G34" s="78"/>
      <c r="H34" s="9">
        <v>8</v>
      </c>
      <c r="I34" s="10" t="s">
        <v>224</v>
      </c>
      <c r="J34" s="10">
        <v>2</v>
      </c>
    </row>
    <row r="35" spans="1:12" ht="15.75" thickBot="1" x14ac:dyDescent="0.3">
      <c r="A35" s="9">
        <v>1</v>
      </c>
      <c r="B35" s="10" t="s">
        <v>6</v>
      </c>
      <c r="C35" s="10">
        <v>1</v>
      </c>
      <c r="D35" s="6"/>
      <c r="E35" s="6"/>
      <c r="F35" s="6"/>
      <c r="G35" s="78"/>
      <c r="H35" s="9">
        <v>9</v>
      </c>
      <c r="I35" s="10" t="s">
        <v>212</v>
      </c>
      <c r="J35" s="10">
        <v>1</v>
      </c>
    </row>
    <row r="36" spans="1:12" ht="15.75" thickBot="1" x14ac:dyDescent="0.3">
      <c r="A36" s="9">
        <v>2</v>
      </c>
      <c r="B36" s="10" t="s">
        <v>8</v>
      </c>
      <c r="C36" s="10">
        <v>1.5</v>
      </c>
      <c r="D36" s="6"/>
      <c r="E36" s="6"/>
      <c r="F36" s="6"/>
      <c r="G36" s="78"/>
      <c r="H36" s="9">
        <v>10</v>
      </c>
      <c r="I36" s="10" t="s">
        <v>348</v>
      </c>
      <c r="J36" s="10">
        <v>0.98</v>
      </c>
    </row>
    <row r="37" spans="1:12" ht="15.75" thickBot="1" x14ac:dyDescent="0.3">
      <c r="A37" s="9">
        <v>3</v>
      </c>
      <c r="B37" s="10" t="s">
        <v>9</v>
      </c>
      <c r="C37" s="10">
        <v>0.5</v>
      </c>
      <c r="D37" s="6"/>
      <c r="E37" s="6"/>
      <c r="F37" s="6"/>
      <c r="G37" s="78"/>
    </row>
    <row r="38" spans="1:12" ht="15.75" thickBot="1" x14ac:dyDescent="0.3">
      <c r="A38" s="9">
        <v>4</v>
      </c>
      <c r="B38" s="10" t="s">
        <v>10</v>
      </c>
      <c r="C38" s="10">
        <v>2</v>
      </c>
      <c r="D38" s="6"/>
      <c r="E38" s="6"/>
      <c r="F38" s="6"/>
      <c r="G38" s="78"/>
    </row>
    <row r="39" spans="1:12" ht="15.75" thickBot="1" x14ac:dyDescent="0.3">
      <c r="A39" s="5" t="s">
        <v>11</v>
      </c>
      <c r="B39" s="6"/>
      <c r="C39" s="6"/>
      <c r="D39" s="6"/>
      <c r="E39" s="6"/>
      <c r="F39" s="6"/>
      <c r="G39" s="78"/>
    </row>
    <row r="40" spans="1:12" ht="16.5" thickBot="1" x14ac:dyDescent="0.35">
      <c r="A40" s="7" t="s">
        <v>96</v>
      </c>
      <c r="B40" s="8" t="s">
        <v>84</v>
      </c>
      <c r="C40" s="8" t="s">
        <v>85</v>
      </c>
      <c r="D40" s="8" t="s">
        <v>86</v>
      </c>
      <c r="E40" s="71"/>
      <c r="F40" s="58"/>
      <c r="G40" s="79"/>
    </row>
    <row r="41" spans="1:12" ht="15.75" thickBot="1" x14ac:dyDescent="0.3">
      <c r="A41" s="9" t="s">
        <v>1</v>
      </c>
      <c r="B41" s="15">
        <f>40*B42</f>
        <v>6.0000000000000002E-5</v>
      </c>
      <c r="C41" s="15">
        <f>40*C42</f>
        <v>6.0000000000000002E-5</v>
      </c>
      <c r="D41" s="15">
        <f>40*D42</f>
        <v>6.0000000000000002E-5</v>
      </c>
      <c r="E41" s="72"/>
      <c r="F41" s="27"/>
      <c r="G41" s="82" t="s">
        <v>399</v>
      </c>
      <c r="H41" s="36" t="s">
        <v>189</v>
      </c>
    </row>
    <row r="42" spans="1:12" ht="18.75" customHeight="1" thickBot="1" x14ac:dyDescent="0.3">
      <c r="A42" s="28" t="s">
        <v>2</v>
      </c>
      <c r="B42" s="15">
        <f>0.000001*H42</f>
        <v>1.5E-6</v>
      </c>
      <c r="C42" s="15">
        <f>0.000001*H42</f>
        <v>1.5E-6</v>
      </c>
      <c r="D42" s="15">
        <f>0.000001*H42</f>
        <v>1.5E-6</v>
      </c>
      <c r="E42" s="73"/>
      <c r="F42" s="27"/>
      <c r="G42" s="83"/>
      <c r="H42" s="53">
        <v>1.5</v>
      </c>
      <c r="I42" s="6">
        <v>5</v>
      </c>
    </row>
    <row r="43" spans="1:12" ht="15" customHeight="1" thickBot="1" x14ac:dyDescent="0.3">
      <c r="A43" s="64" t="s">
        <v>242</v>
      </c>
      <c r="B43" s="41" t="s">
        <v>243</v>
      </c>
      <c r="C43" s="41" t="s">
        <v>244</v>
      </c>
      <c r="D43" s="41" t="s">
        <v>245</v>
      </c>
      <c r="E43" s="41" t="s">
        <v>259</v>
      </c>
      <c r="F43" s="41" t="s">
        <v>358</v>
      </c>
      <c r="G43" s="79"/>
      <c r="H43" s="34"/>
      <c r="I43" s="29"/>
      <c r="J43" s="29"/>
      <c r="K43" s="30"/>
    </row>
    <row r="44" spans="1:12" ht="15" customHeight="1" thickBot="1" x14ac:dyDescent="0.3">
      <c r="A44" s="64" t="s">
        <v>398</v>
      </c>
      <c r="B44" s="68">
        <v>0</v>
      </c>
      <c r="C44" s="68">
        <v>1</v>
      </c>
      <c r="D44" s="68">
        <v>1</v>
      </c>
      <c r="E44" s="68">
        <v>50</v>
      </c>
      <c r="F44" s="68">
        <v>30</v>
      </c>
      <c r="G44" s="80"/>
      <c r="H44" s="34"/>
      <c r="I44" s="29"/>
      <c r="J44" s="29"/>
      <c r="K44" s="30"/>
    </row>
    <row r="45" spans="1:12" ht="15.75" thickBot="1" x14ac:dyDescent="0.3">
      <c r="A45" s="5" t="s">
        <v>255</v>
      </c>
      <c r="B45" s="6"/>
      <c r="C45" s="6"/>
      <c r="D45" s="6"/>
      <c r="E45" s="6"/>
      <c r="F45" s="6"/>
      <c r="G45" s="78"/>
    </row>
    <row r="46" spans="1:12" ht="15.75" thickBot="1" x14ac:dyDescent="0.3">
      <c r="A46" s="12" t="s">
        <v>254</v>
      </c>
      <c r="B46" s="8" t="s">
        <v>276</v>
      </c>
      <c r="C46" s="8" t="s">
        <v>278</v>
      </c>
      <c r="D46" s="8" t="s">
        <v>277</v>
      </c>
      <c r="E46" s="8" t="s">
        <v>102</v>
      </c>
      <c r="F46" s="58"/>
      <c r="G46" s="79"/>
    </row>
    <row r="47" spans="1:12" ht="18.75" customHeight="1" thickBot="1" x14ac:dyDescent="0.35">
      <c r="A47" s="13" t="s">
        <v>247</v>
      </c>
      <c r="B47" s="10">
        <v>1</v>
      </c>
      <c r="C47" s="10">
        <v>1</v>
      </c>
      <c r="D47" s="10">
        <v>1</v>
      </c>
      <c r="E47" s="10">
        <v>1</v>
      </c>
      <c r="F47" s="20"/>
      <c r="G47" s="81"/>
      <c r="H47" s="27"/>
      <c r="K47" s="20"/>
      <c r="L47" s="20"/>
    </row>
    <row r="48" spans="1:12" ht="18.75" customHeight="1" thickBot="1" x14ac:dyDescent="0.35">
      <c r="A48" s="13" t="s">
        <v>248</v>
      </c>
      <c r="B48" s="10">
        <v>1</v>
      </c>
      <c r="C48" s="10">
        <v>1</v>
      </c>
      <c r="D48" s="10">
        <v>1</v>
      </c>
      <c r="E48" s="10">
        <v>1</v>
      </c>
      <c r="F48" s="20"/>
      <c r="G48" s="81"/>
      <c r="H48" s="27"/>
      <c r="K48" s="20"/>
      <c r="L48" s="20"/>
    </row>
    <row r="49" spans="1:12" ht="18.75" customHeight="1" thickBot="1" x14ac:dyDescent="0.35">
      <c r="A49" s="42" t="s">
        <v>249</v>
      </c>
      <c r="B49" s="10">
        <v>1</v>
      </c>
      <c r="C49" s="10">
        <v>1</v>
      </c>
      <c r="D49" s="10">
        <v>1</v>
      </c>
      <c r="E49" s="10">
        <v>1</v>
      </c>
      <c r="F49" s="20"/>
      <c r="G49" s="81"/>
      <c r="H49" s="27"/>
      <c r="K49" s="20"/>
      <c r="L49" s="20"/>
    </row>
    <row r="50" spans="1:12" ht="18.75" customHeight="1" thickBot="1" x14ac:dyDescent="0.35">
      <c r="A50" s="44" t="s">
        <v>250</v>
      </c>
      <c r="B50" s="10">
        <v>10</v>
      </c>
      <c r="C50" s="10">
        <v>1</v>
      </c>
      <c r="D50" s="10">
        <v>1</v>
      </c>
      <c r="E50" s="10">
        <v>1</v>
      </c>
      <c r="F50" s="20"/>
      <c r="G50" s="81"/>
      <c r="H50" s="27"/>
      <c r="K50" s="20"/>
      <c r="L50" s="20"/>
    </row>
    <row r="51" spans="1:12" ht="18.75" customHeight="1" thickBot="1" x14ac:dyDescent="0.35">
      <c r="A51" s="13" t="s">
        <v>252</v>
      </c>
      <c r="B51" s="10">
        <v>1</v>
      </c>
      <c r="C51" s="10">
        <v>1</v>
      </c>
      <c r="D51" s="10">
        <v>1</v>
      </c>
      <c r="E51" s="10">
        <v>1</v>
      </c>
      <c r="F51" s="20"/>
      <c r="G51" s="81"/>
      <c r="H51" s="27"/>
      <c r="K51" s="20"/>
      <c r="L51" s="20"/>
    </row>
    <row r="52" spans="1:12" ht="18.75" customHeight="1" thickBot="1" x14ac:dyDescent="0.35">
      <c r="A52" s="13" t="s">
        <v>253</v>
      </c>
      <c r="B52" s="10">
        <v>1</v>
      </c>
      <c r="C52" s="10">
        <v>1</v>
      </c>
      <c r="D52" s="10">
        <v>1</v>
      </c>
      <c r="E52" s="10">
        <v>1</v>
      </c>
      <c r="F52" s="20"/>
      <c r="G52" s="81"/>
      <c r="H52" s="27"/>
      <c r="K52" s="20"/>
      <c r="L52" s="20"/>
    </row>
    <row r="53" spans="1:12" ht="18.75" customHeight="1" thickBot="1" x14ac:dyDescent="0.35">
      <c r="A53" s="13" t="s">
        <v>251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256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13" t="s">
        <v>257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13" t="s">
        <v>338</v>
      </c>
      <c r="B56" s="10">
        <v>0</v>
      </c>
      <c r="C56" s="10">
        <v>1</v>
      </c>
      <c r="D56" s="10">
        <v>1</v>
      </c>
      <c r="E56" s="10">
        <v>1</v>
      </c>
      <c r="F56" s="20"/>
      <c r="G56" s="81" t="s">
        <v>339</v>
      </c>
      <c r="H56" s="27"/>
      <c r="K56" s="20"/>
      <c r="L56" s="20"/>
    </row>
    <row r="57" spans="1:12" ht="19.5" customHeight="1" thickBot="1" x14ac:dyDescent="0.3">
      <c r="A57" s="5" t="s">
        <v>295</v>
      </c>
      <c r="B57" s="6"/>
      <c r="C57" s="6"/>
      <c r="D57" s="6"/>
      <c r="E57" s="6"/>
      <c r="F57" s="6"/>
      <c r="G57" s="78"/>
      <c r="K57" s="20"/>
      <c r="L57" s="20"/>
    </row>
    <row r="58" spans="1:12" ht="16.5" thickBot="1" x14ac:dyDescent="0.35">
      <c r="A58" s="7" t="s">
        <v>296</v>
      </c>
      <c r="B58" s="8" t="s">
        <v>84</v>
      </c>
      <c r="C58" s="8" t="s">
        <v>85</v>
      </c>
      <c r="D58" s="8" t="s">
        <v>86</v>
      </c>
      <c r="E58" s="6"/>
      <c r="F58" s="6"/>
      <c r="G58" s="78"/>
      <c r="K58" s="20"/>
      <c r="L58" s="20"/>
    </row>
    <row r="59" spans="1:12" ht="15.75" thickBot="1" x14ac:dyDescent="0.3">
      <c r="A59" s="9" t="s">
        <v>1</v>
      </c>
      <c r="B59" s="16">
        <f>10*B60</f>
        <v>9.9999999999999991E-6</v>
      </c>
      <c r="C59" s="16">
        <f>10*C60</f>
        <v>9.9999999999999991E-6</v>
      </c>
      <c r="D59" s="16">
        <f>10*D60</f>
        <v>9.9999999999999991E-6</v>
      </c>
      <c r="E59" s="6"/>
      <c r="F59" s="6"/>
      <c r="G59" s="78"/>
      <c r="K59" s="20"/>
      <c r="L59" s="20"/>
    </row>
    <row r="60" spans="1:12" ht="15.75" thickBot="1" x14ac:dyDescent="0.3">
      <c r="A60" s="28" t="s">
        <v>2</v>
      </c>
      <c r="B60" s="17">
        <v>9.9999999999999995E-7</v>
      </c>
      <c r="C60" s="17">
        <v>9.9999999999999995E-7</v>
      </c>
      <c r="D60" s="17">
        <v>9.9999999999999995E-7</v>
      </c>
      <c r="E60" s="6"/>
      <c r="F60" s="6"/>
      <c r="G60" s="78"/>
    </row>
    <row r="61" spans="1:12" ht="15" customHeight="1" thickBot="1" x14ac:dyDescent="0.35">
      <c r="A61" s="41" t="s">
        <v>299</v>
      </c>
      <c r="B61" s="10">
        <v>60</v>
      </c>
      <c r="C61" s="20"/>
      <c r="D61" s="20"/>
      <c r="E61" s="6"/>
      <c r="F61" s="6"/>
      <c r="G61" s="78"/>
      <c r="H61" s="29"/>
      <c r="I61" s="29"/>
      <c r="J61" s="29"/>
      <c r="K61" s="30"/>
    </row>
    <row r="62" spans="1:12" ht="15.75" thickBot="1" x14ac:dyDescent="0.3">
      <c r="A62" s="12" t="s">
        <v>297</v>
      </c>
      <c r="B62" s="8" t="s">
        <v>276</v>
      </c>
      <c r="C62" s="8" t="s">
        <v>278</v>
      </c>
      <c r="D62" s="8" t="s">
        <v>277</v>
      </c>
      <c r="E62" s="8" t="s">
        <v>102</v>
      </c>
      <c r="F62" s="58"/>
      <c r="G62" s="79"/>
    </row>
    <row r="63" spans="1:12" ht="18.75" customHeight="1" thickBot="1" x14ac:dyDescent="0.35">
      <c r="A63" s="13" t="s">
        <v>300</v>
      </c>
      <c r="B63" s="10">
        <v>1</v>
      </c>
      <c r="C63" s="10">
        <v>0</v>
      </c>
      <c r="D63" s="10">
        <v>0</v>
      </c>
      <c r="E63" s="10">
        <v>0</v>
      </c>
      <c r="F63" s="20"/>
      <c r="G63" s="81" t="s">
        <v>317</v>
      </c>
      <c r="H63" s="27"/>
      <c r="K63" s="20"/>
      <c r="L63" s="20"/>
    </row>
    <row r="64" spans="1:12" ht="15.75" thickBot="1" x14ac:dyDescent="0.3">
      <c r="A64" s="5" t="s">
        <v>60</v>
      </c>
      <c r="B64" s="6"/>
      <c r="C64" s="6"/>
      <c r="D64" s="6"/>
      <c r="E64" s="6"/>
      <c r="F64" s="6"/>
      <c r="G64" s="78"/>
    </row>
    <row r="65" spans="1:16" ht="16.5" thickBot="1" x14ac:dyDescent="0.35">
      <c r="A65" s="7" t="s">
        <v>97</v>
      </c>
      <c r="B65" s="8" t="s">
        <v>84</v>
      </c>
      <c r="C65" s="8" t="s">
        <v>85</v>
      </c>
      <c r="D65" s="8" t="s">
        <v>86</v>
      </c>
      <c r="E65" s="6"/>
      <c r="F65" s="6"/>
      <c r="G65" s="78"/>
    </row>
    <row r="66" spans="1:16" ht="15.75" thickBot="1" x14ac:dyDescent="0.3">
      <c r="A66" s="9" t="s">
        <v>1</v>
      </c>
      <c r="B66" s="15">
        <f>10*B67</f>
        <v>9.9999999999999991E-6</v>
      </c>
      <c r="C66" s="15">
        <f>10*C67</f>
        <v>9.9999999999999991E-6</v>
      </c>
      <c r="D66" s="15">
        <f>10*D67</f>
        <v>9.9999999999999991E-6</v>
      </c>
      <c r="E66" s="6"/>
      <c r="F66" s="6"/>
      <c r="G66" s="78"/>
    </row>
    <row r="67" spans="1:16" ht="15.75" thickBot="1" x14ac:dyDescent="0.3">
      <c r="A67" s="28" t="s">
        <v>2</v>
      </c>
      <c r="B67" s="15">
        <v>9.9999999999999995E-7</v>
      </c>
      <c r="C67" s="15">
        <v>9.9999999999999995E-7</v>
      </c>
      <c r="D67" s="15">
        <v>9.9999999999999995E-7</v>
      </c>
      <c r="E67" s="6"/>
      <c r="F67" s="6"/>
      <c r="G67" s="78"/>
    </row>
    <row r="68" spans="1:16" ht="15" customHeight="1" thickBot="1" x14ac:dyDescent="0.35">
      <c r="A68" s="41" t="s">
        <v>117</v>
      </c>
      <c r="B68" s="10">
        <v>60</v>
      </c>
      <c r="C68" s="20"/>
      <c r="D68" s="20"/>
      <c r="E68" s="6"/>
      <c r="F68" s="6"/>
      <c r="G68" s="78"/>
      <c r="H68" s="29"/>
      <c r="I68" s="29"/>
      <c r="J68" s="29"/>
      <c r="K68" s="30"/>
    </row>
    <row r="69" spans="1:16" ht="15.75" thickBot="1" x14ac:dyDescent="0.3">
      <c r="A69" s="12" t="s">
        <v>280</v>
      </c>
      <c r="B69" s="8" t="s">
        <v>276</v>
      </c>
      <c r="C69" s="8" t="s">
        <v>278</v>
      </c>
      <c r="D69" s="8" t="s">
        <v>277</v>
      </c>
      <c r="E69" s="8" t="s">
        <v>102</v>
      </c>
      <c r="F69" s="58"/>
      <c r="G69" s="79"/>
    </row>
    <row r="70" spans="1:16" ht="18.75" customHeight="1" thickBot="1" x14ac:dyDescent="0.35">
      <c r="A70" s="13" t="s">
        <v>281</v>
      </c>
      <c r="B70" s="10">
        <v>1</v>
      </c>
      <c r="C70" s="10">
        <v>0</v>
      </c>
      <c r="D70" s="10">
        <v>0</v>
      </c>
      <c r="E70" s="10">
        <v>0</v>
      </c>
      <c r="F70" s="20"/>
      <c r="G70" s="81" t="s">
        <v>318</v>
      </c>
      <c r="H70" s="27"/>
      <c r="K70" s="20"/>
      <c r="L70" s="20"/>
    </row>
    <row r="71" spans="1:16" ht="15.75" thickBot="1" x14ac:dyDescent="0.3">
      <c r="A71" s="5" t="s">
        <v>284</v>
      </c>
      <c r="B71" s="6"/>
      <c r="C71" s="6"/>
      <c r="D71" s="6"/>
      <c r="E71" s="6"/>
      <c r="F71" s="6"/>
      <c r="G71" s="78"/>
    </row>
    <row r="72" spans="1:16" ht="15.75" thickBot="1" x14ac:dyDescent="0.3">
      <c r="A72" s="12" t="s">
        <v>254</v>
      </c>
      <c r="B72" s="8" t="s">
        <v>301</v>
      </c>
      <c r="C72" s="8" t="s">
        <v>283</v>
      </c>
      <c r="D72" s="6"/>
      <c r="E72" s="6"/>
      <c r="F72" s="6"/>
      <c r="G72" s="78"/>
      <c r="O72"/>
    </row>
    <row r="73" spans="1:16" ht="16.5" thickBot="1" x14ac:dyDescent="0.35">
      <c r="A73" s="13" t="s">
        <v>285</v>
      </c>
      <c r="B73" s="10">
        <v>0</v>
      </c>
      <c r="C73" s="10">
        <v>0</v>
      </c>
      <c r="D73" s="27"/>
      <c r="E73" s="6"/>
      <c r="F73" s="6"/>
      <c r="G73" s="78"/>
      <c r="O73"/>
    </row>
    <row r="74" spans="1:16" ht="16.5" thickBot="1" x14ac:dyDescent="0.35">
      <c r="A74" s="13" t="s">
        <v>286</v>
      </c>
      <c r="B74" s="10">
        <v>0</v>
      </c>
      <c r="C74" s="10">
        <v>0</v>
      </c>
      <c r="D74" s="27"/>
      <c r="E74" s="6"/>
      <c r="F74" s="6"/>
      <c r="G74" s="78"/>
      <c r="O74"/>
    </row>
    <row r="75" spans="1:16" ht="16.5" thickBot="1" x14ac:dyDescent="0.35">
      <c r="A75" s="42" t="s">
        <v>287</v>
      </c>
      <c r="B75" s="10">
        <v>0</v>
      </c>
      <c r="C75" s="10">
        <v>0</v>
      </c>
      <c r="D75" s="27"/>
      <c r="E75" s="6"/>
      <c r="F75" s="6"/>
      <c r="G75" s="78"/>
      <c r="O75"/>
    </row>
    <row r="76" spans="1:16" ht="16.5" thickBot="1" x14ac:dyDescent="0.35">
      <c r="A76" s="44" t="s">
        <v>288</v>
      </c>
      <c r="B76" s="10">
        <v>1</v>
      </c>
      <c r="C76" s="10">
        <v>1</v>
      </c>
      <c r="D76" s="27"/>
      <c r="E76" s="6"/>
      <c r="F76" s="6"/>
      <c r="G76" s="78"/>
      <c r="O76"/>
    </row>
    <row r="77" spans="1:16" ht="16.5" thickBot="1" x14ac:dyDescent="0.35">
      <c r="A77" s="13" t="s">
        <v>289</v>
      </c>
      <c r="B77" s="10">
        <v>1</v>
      </c>
      <c r="C77" s="10">
        <v>1</v>
      </c>
      <c r="D77" s="27"/>
      <c r="E77" s="6"/>
      <c r="F77" s="6"/>
      <c r="G77" s="78"/>
      <c r="O77"/>
    </row>
    <row r="78" spans="1:16" ht="16.5" thickBot="1" x14ac:dyDescent="0.35">
      <c r="A78" s="13" t="s">
        <v>290</v>
      </c>
      <c r="B78" s="10">
        <v>1</v>
      </c>
      <c r="C78" s="10">
        <v>1</v>
      </c>
      <c r="D78" s="27"/>
      <c r="E78" s="6"/>
      <c r="F78" s="6"/>
      <c r="G78" s="78"/>
      <c r="O78"/>
    </row>
    <row r="79" spans="1:16" ht="16.5" thickBot="1" x14ac:dyDescent="0.35">
      <c r="A79" s="13" t="s">
        <v>291</v>
      </c>
      <c r="B79" s="10">
        <v>0</v>
      </c>
      <c r="C79" s="10">
        <v>0</v>
      </c>
      <c r="D79" s="27"/>
      <c r="E79" s="6"/>
      <c r="F79" s="6"/>
      <c r="G79" s="78"/>
    </row>
    <row r="80" spans="1:16" ht="16.5" thickBot="1" x14ac:dyDescent="0.35">
      <c r="A80" s="13" t="s">
        <v>292</v>
      </c>
      <c r="B80" s="10">
        <v>0</v>
      </c>
      <c r="C80" s="10">
        <v>0</v>
      </c>
      <c r="D80" s="27"/>
      <c r="E80" s="6"/>
      <c r="F80" s="6"/>
      <c r="G80" s="78"/>
      <c r="P80" s="6"/>
    </row>
    <row r="81" spans="1:16" ht="16.5" thickBot="1" x14ac:dyDescent="0.35">
      <c r="A81" s="13" t="s">
        <v>293</v>
      </c>
      <c r="B81" s="10">
        <v>0</v>
      </c>
      <c r="C81" s="10">
        <v>0</v>
      </c>
      <c r="D81" s="27"/>
      <c r="E81" s="6"/>
      <c r="F81" s="6"/>
      <c r="G81" s="78"/>
      <c r="I81" s="20"/>
      <c r="J81" s="20"/>
      <c r="K81" s="20"/>
      <c r="P81" s="6"/>
    </row>
    <row r="82" spans="1:16" ht="15.75" thickBot="1" x14ac:dyDescent="0.3">
      <c r="A82" s="5" t="s">
        <v>12</v>
      </c>
      <c r="B82" s="6"/>
      <c r="C82" s="6"/>
      <c r="D82" s="6"/>
      <c r="E82" s="6"/>
      <c r="F82" s="6"/>
      <c r="G82" s="78"/>
      <c r="I82" s="20"/>
      <c r="J82" s="20"/>
      <c r="K82" s="20"/>
      <c r="P82" s="6"/>
    </row>
    <row r="83" spans="1:16" ht="15.75" thickBot="1" x14ac:dyDescent="0.3">
      <c r="A83" s="12" t="s">
        <v>274</v>
      </c>
      <c r="B83" s="8" t="s">
        <v>15</v>
      </c>
      <c r="C83" s="6"/>
      <c r="D83" s="6"/>
      <c r="E83" s="6"/>
      <c r="F83" s="6"/>
      <c r="G83" s="78"/>
      <c r="I83" s="20"/>
      <c r="J83" s="20"/>
      <c r="K83" s="20"/>
      <c r="P83" s="6"/>
    </row>
    <row r="84" spans="1:16" ht="16.5" thickBot="1" x14ac:dyDescent="0.35">
      <c r="A84" s="13" t="s">
        <v>98</v>
      </c>
      <c r="B84" s="10">
        <v>0.5</v>
      </c>
      <c r="C84" s="6"/>
      <c r="D84" s="6"/>
      <c r="E84" s="6"/>
      <c r="F84" s="6"/>
      <c r="G84" s="78"/>
      <c r="I84" s="20"/>
      <c r="J84" s="20"/>
      <c r="K84" s="20"/>
      <c r="P84" s="6"/>
    </row>
    <row r="85" spans="1:16" ht="16.5" thickBot="1" x14ac:dyDescent="0.35">
      <c r="A85" s="13" t="s">
        <v>275</v>
      </c>
      <c r="B85" s="10">
        <v>0.5</v>
      </c>
      <c r="C85" s="6"/>
      <c r="D85" s="6"/>
      <c r="E85" s="6"/>
      <c r="F85" s="6"/>
      <c r="G85" s="78"/>
      <c r="I85" s="20"/>
      <c r="J85" s="20"/>
      <c r="K85" s="20"/>
      <c r="P85" s="6"/>
    </row>
    <row r="86" spans="1:16" ht="16.5" thickBot="1" x14ac:dyDescent="0.35">
      <c r="A86" s="13" t="s">
        <v>99</v>
      </c>
      <c r="B86" s="10">
        <v>0.5</v>
      </c>
      <c r="C86" s="6"/>
      <c r="D86" s="6"/>
      <c r="E86" s="6"/>
      <c r="F86" s="6"/>
      <c r="G86" s="78"/>
      <c r="I86" s="20"/>
      <c r="J86" s="20"/>
      <c r="K86" s="20"/>
      <c r="P86" s="6"/>
    </row>
    <row r="87" spans="1:16" ht="16.5" thickBot="1" x14ac:dyDescent="0.35">
      <c r="A87" s="13" t="s">
        <v>100</v>
      </c>
      <c r="B87" s="10">
        <v>0</v>
      </c>
      <c r="C87" s="6"/>
      <c r="D87" s="6"/>
      <c r="E87" s="6"/>
      <c r="F87" s="6"/>
      <c r="G87" s="78"/>
      <c r="I87" s="20"/>
      <c r="J87" s="20"/>
      <c r="K87" s="20"/>
      <c r="P87" s="6"/>
    </row>
    <row r="88" spans="1:16" ht="16.5" thickBot="1" x14ac:dyDescent="0.35">
      <c r="A88" s="13" t="s">
        <v>298</v>
      </c>
      <c r="B88" s="10">
        <v>0</v>
      </c>
      <c r="C88" s="6"/>
      <c r="D88" s="6"/>
      <c r="E88" s="6"/>
      <c r="F88" s="6"/>
      <c r="G88" s="78"/>
      <c r="I88" s="20"/>
      <c r="J88" s="20"/>
      <c r="K88" s="20"/>
      <c r="P88" s="6"/>
    </row>
    <row r="89" spans="1:16" ht="16.5" thickBot="1" x14ac:dyDescent="0.35">
      <c r="A89" s="13" t="s">
        <v>273</v>
      </c>
      <c r="B89" s="10">
        <v>0.98</v>
      </c>
      <c r="C89" s="6"/>
      <c r="D89" s="6"/>
      <c r="E89" s="6"/>
      <c r="F89" s="6"/>
      <c r="G89" s="78" t="s">
        <v>294</v>
      </c>
      <c r="I89" s="20"/>
      <c r="J89" s="20"/>
      <c r="K89" s="20"/>
      <c r="P89" s="6"/>
    </row>
    <row r="90" spans="1:16" ht="15" customHeight="1" thickBot="1" x14ac:dyDescent="0.3">
      <c r="A90" s="5" t="s">
        <v>344</v>
      </c>
      <c r="B90" s="6"/>
      <c r="C90" s="6"/>
      <c r="D90" s="6"/>
      <c r="E90" s="6"/>
      <c r="F90" s="6"/>
      <c r="G90" s="79"/>
      <c r="H90" s="29"/>
      <c r="I90" s="29"/>
      <c r="J90" s="29"/>
      <c r="K90" s="30"/>
    </row>
    <row r="91" spans="1:16" ht="18" customHeight="1" thickBot="1" x14ac:dyDescent="0.3">
      <c r="A91" s="12" t="s">
        <v>254</v>
      </c>
      <c r="B91" s="8" t="s">
        <v>260</v>
      </c>
      <c r="C91" s="8" t="s">
        <v>236</v>
      </c>
      <c r="D91" s="8" t="s">
        <v>101</v>
      </c>
      <c r="E91" s="8" t="s">
        <v>102</v>
      </c>
      <c r="F91" s="58"/>
      <c r="G91" s="81"/>
      <c r="H91" s="20"/>
      <c r="I91" s="29"/>
      <c r="J91" s="29"/>
      <c r="K91" s="30"/>
    </row>
    <row r="92" spans="1:16" ht="16.5" thickBot="1" x14ac:dyDescent="0.35">
      <c r="A92" s="13" t="s">
        <v>231</v>
      </c>
      <c r="B92" s="10">
        <v>1</v>
      </c>
      <c r="C92" s="10">
        <v>1</v>
      </c>
      <c r="D92" s="10">
        <f>0.28</f>
        <v>0.28000000000000003</v>
      </c>
      <c r="E92" s="114">
        <f>D92*0.078</f>
        <v>2.1840000000000002E-2</v>
      </c>
      <c r="F92" s="20"/>
      <c r="G92" s="81"/>
    </row>
    <row r="93" spans="1:16" ht="16.5" thickBot="1" x14ac:dyDescent="0.35">
      <c r="A93" s="13" t="s">
        <v>232</v>
      </c>
      <c r="B93" s="10">
        <v>1</v>
      </c>
      <c r="C93" s="10">
        <v>1</v>
      </c>
      <c r="D93" s="10">
        <v>0.1</v>
      </c>
      <c r="E93" s="114">
        <v>0.01</v>
      </c>
      <c r="F93" s="20"/>
      <c r="G93" s="81"/>
      <c r="L93" s="20"/>
      <c r="M93" s="20"/>
    </row>
    <row r="94" spans="1:16" ht="16.5" thickBot="1" x14ac:dyDescent="0.35">
      <c r="A94" s="42" t="s">
        <v>233</v>
      </c>
      <c r="B94" s="10">
        <v>1</v>
      </c>
      <c r="C94" s="10">
        <v>1</v>
      </c>
      <c r="D94" s="10">
        <v>0.8</v>
      </c>
      <c r="E94" s="114">
        <v>0.5</v>
      </c>
      <c r="F94" s="20"/>
      <c r="G94" s="81"/>
      <c r="H94" s="20"/>
      <c r="L94" s="20"/>
      <c r="M94" s="20"/>
    </row>
    <row r="95" spans="1:16" ht="16.5" thickBot="1" x14ac:dyDescent="0.35">
      <c r="A95" s="44" t="s">
        <v>234</v>
      </c>
      <c r="B95" s="10">
        <v>1</v>
      </c>
      <c r="C95" s="10">
        <v>0.05</v>
      </c>
      <c r="D95" s="114">
        <f>C95*0.16</f>
        <v>8.0000000000000002E-3</v>
      </c>
      <c r="E95" s="114">
        <f>C95*0.04</f>
        <v>2E-3</v>
      </c>
      <c r="F95" s="20"/>
      <c r="G95" s="81"/>
      <c r="H95" s="20"/>
      <c r="L95" s="20"/>
      <c r="M95" s="20"/>
    </row>
    <row r="96" spans="1:16" ht="16.5" thickBot="1" x14ac:dyDescent="0.35">
      <c r="A96" s="13" t="s">
        <v>239</v>
      </c>
      <c r="B96" s="10">
        <v>1</v>
      </c>
      <c r="C96" s="10">
        <v>1</v>
      </c>
      <c r="D96" s="10">
        <v>0.28000000000000003</v>
      </c>
      <c r="E96" s="114">
        <f>D96*0.08</f>
        <v>2.2400000000000003E-2</v>
      </c>
      <c r="F96" s="20"/>
      <c r="G96" s="81"/>
      <c r="L96" s="20"/>
      <c r="M96" s="20"/>
    </row>
    <row r="97" spans="1:15" ht="18" customHeight="1" thickBot="1" x14ac:dyDescent="0.35">
      <c r="A97" s="13" t="s">
        <v>240</v>
      </c>
      <c r="B97" s="10">
        <v>1</v>
      </c>
      <c r="C97" s="10">
        <v>1</v>
      </c>
      <c r="D97" s="10">
        <v>0.28000000000000003</v>
      </c>
      <c r="E97" s="114">
        <f>D97*0.08</f>
        <v>2.2400000000000003E-2</v>
      </c>
      <c r="F97" s="20"/>
      <c r="G97" s="81"/>
      <c r="I97" s="58"/>
      <c r="J97" s="58"/>
      <c r="K97" s="58"/>
      <c r="L97" s="58"/>
      <c r="M97" s="20"/>
      <c r="O97"/>
    </row>
    <row r="98" spans="1:15" ht="16.5" thickBot="1" x14ac:dyDescent="0.35">
      <c r="A98" s="13" t="s">
        <v>235</v>
      </c>
      <c r="B98" s="10">
        <v>1</v>
      </c>
      <c r="C98" s="10">
        <v>1</v>
      </c>
      <c r="D98" s="10">
        <v>1</v>
      </c>
      <c r="E98" s="114">
        <v>1</v>
      </c>
      <c r="F98" s="20"/>
      <c r="G98" s="81"/>
      <c r="H98" s="20"/>
      <c r="I98" s="20"/>
      <c r="J98" s="20"/>
      <c r="K98" s="20"/>
      <c r="L98" s="20"/>
      <c r="O98"/>
    </row>
    <row r="99" spans="1:15" ht="16.5" thickBot="1" x14ac:dyDescent="0.35">
      <c r="A99" s="13" t="s">
        <v>237</v>
      </c>
      <c r="B99" s="10">
        <v>1</v>
      </c>
      <c r="C99" s="10">
        <f>C92/1</f>
        <v>1</v>
      </c>
      <c r="D99" s="10">
        <f>D92*1</f>
        <v>0.28000000000000003</v>
      </c>
      <c r="E99" s="114">
        <f>E92*1</f>
        <v>2.1840000000000002E-2</v>
      </c>
      <c r="F99" s="20"/>
      <c r="G99" s="81"/>
      <c r="H99" s="20"/>
      <c r="I99" s="20"/>
      <c r="J99" s="20"/>
      <c r="K99" s="20"/>
      <c r="L99" s="20"/>
      <c r="O99"/>
    </row>
    <row r="100" spans="1:15" ht="16.5" thickBot="1" x14ac:dyDescent="0.35">
      <c r="A100" s="13" t="s">
        <v>238</v>
      </c>
      <c r="B100" s="10">
        <v>1</v>
      </c>
      <c r="C100" s="10">
        <f>C92/1</f>
        <v>1</v>
      </c>
      <c r="D100" s="10">
        <f>D92</f>
        <v>0.28000000000000003</v>
      </c>
      <c r="E100" s="114">
        <f>E92</f>
        <v>2.1840000000000002E-2</v>
      </c>
      <c r="F100" s="20"/>
      <c r="G100" s="78"/>
      <c r="H100" s="20"/>
      <c r="I100" s="20"/>
      <c r="J100" s="20"/>
      <c r="K100" s="20"/>
      <c r="L100" s="20"/>
      <c r="M100" s="20"/>
      <c r="O100"/>
    </row>
    <row r="101" spans="1:15" ht="16.5" thickBot="1" x14ac:dyDescent="0.35">
      <c r="A101" s="13" t="s">
        <v>304</v>
      </c>
      <c r="B101" s="10">
        <v>1</v>
      </c>
      <c r="C101" s="10">
        <f>C92/1</f>
        <v>1</v>
      </c>
      <c r="D101" s="10">
        <v>0.16</v>
      </c>
      <c r="E101" s="114">
        <v>0.04</v>
      </c>
      <c r="F101" s="20"/>
      <c r="G101" s="78" t="s">
        <v>310</v>
      </c>
      <c r="H101" s="20"/>
      <c r="I101" s="20"/>
      <c r="J101" s="20"/>
      <c r="K101" s="20"/>
      <c r="L101" s="20"/>
      <c r="M101" s="20"/>
      <c r="O101"/>
    </row>
    <row r="102" spans="1:15" ht="16.5" thickBot="1" x14ac:dyDescent="0.35">
      <c r="A102" s="13" t="s">
        <v>305</v>
      </c>
      <c r="B102" s="10">
        <v>1</v>
      </c>
      <c r="C102" s="10">
        <f>C93/1</f>
        <v>1</v>
      </c>
      <c r="D102" s="10">
        <v>1</v>
      </c>
      <c r="E102" s="114">
        <v>0.2</v>
      </c>
      <c r="F102" s="20"/>
      <c r="G102" s="78" t="s">
        <v>316</v>
      </c>
      <c r="H102" s="20"/>
      <c r="I102" s="20"/>
      <c r="J102" s="20"/>
      <c r="K102" s="20"/>
      <c r="L102" s="20"/>
      <c r="M102" s="20"/>
      <c r="O102"/>
    </row>
    <row r="103" spans="1:15" ht="21.75" customHeight="1" thickBot="1" x14ac:dyDescent="0.35">
      <c r="A103" s="41" t="s">
        <v>118</v>
      </c>
      <c r="B103" s="10">
        <v>50</v>
      </c>
      <c r="C103" s="20"/>
      <c r="D103" s="20"/>
      <c r="E103" s="6"/>
      <c r="F103" s="6"/>
      <c r="G103" s="78"/>
      <c r="H103" s="20"/>
      <c r="I103" s="20"/>
      <c r="J103" s="20"/>
      <c r="K103" s="20"/>
      <c r="L103" s="20"/>
      <c r="O103"/>
    </row>
    <row r="104" spans="1:15" ht="16.5" thickBot="1" x14ac:dyDescent="0.35">
      <c r="A104" s="41" t="s">
        <v>119</v>
      </c>
      <c r="B104" s="10">
        <v>0</v>
      </c>
      <c r="D104" s="20"/>
      <c r="E104" s="6"/>
      <c r="F104" s="6"/>
      <c r="G104" s="93" t="s">
        <v>405</v>
      </c>
    </row>
    <row r="105" spans="1:15" ht="18.75" customHeight="1" thickBot="1" x14ac:dyDescent="0.3">
      <c r="A105" s="5" t="s">
        <v>13</v>
      </c>
      <c r="B105" s="6"/>
      <c r="C105" s="6"/>
      <c r="D105" s="6"/>
      <c r="E105" s="6"/>
      <c r="F105" s="6"/>
      <c r="G105" s="78"/>
      <c r="H105" s="27"/>
      <c r="K105" s="20"/>
      <c r="L105" s="20"/>
    </row>
    <row r="106" spans="1:15" ht="18.75" customHeight="1" thickBot="1" x14ac:dyDescent="0.3">
      <c r="A106" s="12" t="s">
        <v>14</v>
      </c>
      <c r="B106" s="8" t="s">
        <v>15</v>
      </c>
      <c r="C106" s="6"/>
      <c r="D106" s="6"/>
      <c r="E106" s="6"/>
      <c r="F106" s="6"/>
      <c r="G106" s="78"/>
      <c r="H106" s="27"/>
      <c r="K106" s="20"/>
      <c r="L106" s="20"/>
    </row>
    <row r="107" spans="1:15" ht="18.75" customHeight="1" thickBot="1" x14ac:dyDescent="0.35">
      <c r="A107" s="18" t="s">
        <v>103</v>
      </c>
      <c r="B107" s="10">
        <v>12</v>
      </c>
      <c r="C107" s="6"/>
      <c r="D107" s="6"/>
      <c r="E107" s="6"/>
      <c r="F107" s="6"/>
      <c r="G107" s="78"/>
      <c r="H107" s="27"/>
      <c r="K107" s="20"/>
      <c r="L107" s="20"/>
    </row>
    <row r="108" spans="1:15" ht="18.75" customHeight="1" thickBot="1" x14ac:dyDescent="0.35">
      <c r="A108" s="13" t="s">
        <v>104</v>
      </c>
      <c r="B108" s="10">
        <v>5</v>
      </c>
      <c r="C108" s="6"/>
      <c r="D108" s="6"/>
      <c r="E108" s="6"/>
      <c r="F108" s="6"/>
      <c r="G108" s="78"/>
      <c r="H108" s="27"/>
      <c r="K108" s="20"/>
      <c r="L108" s="20"/>
    </row>
    <row r="109" spans="1:15" ht="15.75" thickBot="1" x14ac:dyDescent="0.3">
      <c r="A109" s="5" t="s">
        <v>61</v>
      </c>
      <c r="B109" s="6"/>
      <c r="C109" s="6"/>
      <c r="D109" s="6"/>
      <c r="E109" s="6"/>
      <c r="F109" s="6"/>
      <c r="G109" s="79"/>
    </row>
    <row r="110" spans="1:15" ht="15.75" thickBot="1" x14ac:dyDescent="0.3">
      <c r="A110" s="12" t="s">
        <v>261</v>
      </c>
      <c r="B110" s="8" t="s">
        <v>276</v>
      </c>
      <c r="C110" s="8" t="s">
        <v>278</v>
      </c>
      <c r="D110" s="8" t="s">
        <v>277</v>
      </c>
      <c r="E110" s="8" t="s">
        <v>102</v>
      </c>
      <c r="F110" s="58"/>
      <c r="G110" s="81"/>
    </row>
    <row r="111" spans="1:15" ht="16.5" thickBot="1" x14ac:dyDescent="0.35">
      <c r="A111" s="13" t="s">
        <v>105</v>
      </c>
      <c r="B111" s="10">
        <v>0.01</v>
      </c>
      <c r="C111" s="10">
        <f>D111</f>
        <v>0.01</v>
      </c>
      <c r="D111" s="10">
        <f>B111</f>
        <v>0.01</v>
      </c>
      <c r="E111" s="10">
        <f>B111</f>
        <v>0.01</v>
      </c>
      <c r="F111" s="20"/>
      <c r="G111" s="81"/>
    </row>
    <row r="112" spans="1:15" ht="16.5" thickBot="1" x14ac:dyDescent="0.35">
      <c r="A112" s="13" t="s">
        <v>106</v>
      </c>
      <c r="B112" s="10">
        <v>1E-3</v>
      </c>
      <c r="C112" s="10">
        <v>1E-3</v>
      </c>
      <c r="D112" s="10">
        <v>1E-3</v>
      </c>
      <c r="E112" s="10">
        <v>1E-3</v>
      </c>
      <c r="F112" s="20"/>
      <c r="G112" s="81"/>
    </row>
    <row r="113" spans="1:15" ht="16.5" thickBot="1" x14ac:dyDescent="0.35">
      <c r="A113" s="13" t="s">
        <v>107</v>
      </c>
      <c r="B113" s="10">
        <f>0.004/2</f>
        <v>2E-3</v>
      </c>
      <c r="C113" s="10">
        <f>B113</f>
        <v>2E-3</v>
      </c>
      <c r="D113" s="10">
        <f>B113</f>
        <v>2E-3</v>
      </c>
      <c r="E113" s="10">
        <f>B113</f>
        <v>2E-3</v>
      </c>
      <c r="F113" s="20"/>
      <c r="G113" s="81"/>
      <c r="L113" s="20"/>
      <c r="M113" s="20"/>
    </row>
    <row r="114" spans="1:15" ht="16.5" thickBot="1" x14ac:dyDescent="0.35">
      <c r="A114" s="13" t="s">
        <v>108</v>
      </c>
      <c r="B114" s="10">
        <v>0.1</v>
      </c>
      <c r="C114" s="10">
        <f>B114</f>
        <v>0.1</v>
      </c>
      <c r="D114" s="10">
        <f>B114</f>
        <v>0.1</v>
      </c>
      <c r="E114" s="10">
        <f>B114</f>
        <v>0.1</v>
      </c>
      <c r="F114" s="20"/>
      <c r="G114" s="79"/>
      <c r="H114" s="20"/>
      <c r="I114" s="20"/>
      <c r="J114" s="20"/>
      <c r="K114" s="20"/>
      <c r="L114" s="20"/>
      <c r="M114" s="20"/>
    </row>
    <row r="115" spans="1:15" ht="15.75" thickBot="1" x14ac:dyDescent="0.3">
      <c r="A115" s="12" t="s">
        <v>262</v>
      </c>
      <c r="B115" s="8" t="s">
        <v>263</v>
      </c>
      <c r="C115" s="8" t="s">
        <v>264</v>
      </c>
      <c r="D115" s="74"/>
      <c r="E115" s="75"/>
      <c r="F115" s="58"/>
      <c r="G115" s="81"/>
      <c r="L115" s="20"/>
      <c r="M115" s="20"/>
    </row>
    <row r="116" spans="1:15" ht="16.5" thickBot="1" x14ac:dyDescent="0.35">
      <c r="A116" s="13" t="s">
        <v>105</v>
      </c>
      <c r="B116" s="10">
        <v>0.3</v>
      </c>
      <c r="C116" s="10">
        <v>0.3</v>
      </c>
      <c r="D116" s="11"/>
      <c r="E116" s="20"/>
      <c r="F116" s="20"/>
      <c r="G116" s="81"/>
    </row>
    <row r="117" spans="1:15" s="2" customFormat="1" ht="15.75" thickBot="1" x14ac:dyDescent="0.35">
      <c r="A117" s="13" t="s">
        <v>106</v>
      </c>
      <c r="B117" s="10">
        <v>0.2</v>
      </c>
      <c r="C117" s="10">
        <v>0.2</v>
      </c>
      <c r="D117" s="11"/>
      <c r="E117" s="20"/>
      <c r="F117" s="20"/>
      <c r="G117" s="81"/>
      <c r="H117" s="6"/>
      <c r="I117" s="6"/>
      <c r="J117" s="6"/>
      <c r="K117" s="6"/>
      <c r="L117" s="6"/>
      <c r="M117" s="6"/>
      <c r="N117" s="6"/>
      <c r="O117" s="6"/>
    </row>
    <row r="118" spans="1:15" s="2" customFormat="1" ht="15.75" thickBot="1" x14ac:dyDescent="0.35">
      <c r="A118" s="13" t="s">
        <v>107</v>
      </c>
      <c r="B118" s="10">
        <v>1</v>
      </c>
      <c r="C118" s="10">
        <v>1</v>
      </c>
      <c r="D118" s="11"/>
      <c r="E118" s="20"/>
      <c r="F118" s="20"/>
      <c r="G118" s="81"/>
      <c r="H118" s="6"/>
      <c r="I118" s="6"/>
      <c r="J118" s="6"/>
      <c r="K118" s="6"/>
      <c r="L118" s="6"/>
      <c r="M118" s="6"/>
      <c r="N118" s="6"/>
      <c r="O118" s="6"/>
    </row>
    <row r="119" spans="1:15" s="2" customFormat="1" ht="15.75" thickBot="1" x14ac:dyDescent="0.35">
      <c r="A119" s="13" t="s">
        <v>108</v>
      </c>
      <c r="B119" s="10">
        <v>1</v>
      </c>
      <c r="C119" s="10">
        <v>1</v>
      </c>
      <c r="D119" s="11"/>
      <c r="E119" s="20"/>
      <c r="F119" s="20"/>
      <c r="G119" s="78"/>
      <c r="H119" s="6"/>
      <c r="I119" s="6"/>
      <c r="J119" s="6"/>
      <c r="K119" s="6"/>
      <c r="L119" s="6"/>
      <c r="M119" s="6"/>
      <c r="N119" s="6"/>
      <c r="O119" s="6"/>
    </row>
    <row r="120" spans="1:15" s="2" customFormat="1" ht="13.5" thickBot="1" x14ac:dyDescent="0.25">
      <c r="A120" s="5" t="s">
        <v>16</v>
      </c>
      <c r="B120" s="6"/>
      <c r="C120" s="6"/>
      <c r="D120" s="6"/>
      <c r="E120" s="6"/>
      <c r="F120" s="6"/>
      <c r="G120" s="78"/>
      <c r="H120" s="27"/>
      <c r="I120" s="27"/>
      <c r="J120" s="6"/>
      <c r="K120" s="6"/>
      <c r="L120" s="6"/>
      <c r="M120" s="6"/>
      <c r="N120" s="6"/>
      <c r="O120" s="6"/>
    </row>
    <row r="121" spans="1:15" s="2" customFormat="1" ht="14.25" thickBot="1" x14ac:dyDescent="0.3">
      <c r="A121" s="8"/>
      <c r="B121" s="8" t="s">
        <v>278</v>
      </c>
      <c r="C121" s="8" t="s">
        <v>277</v>
      </c>
      <c r="D121" s="8" t="s">
        <v>102</v>
      </c>
      <c r="E121" s="6"/>
      <c r="F121" s="6"/>
      <c r="G121" s="78"/>
      <c r="H121" s="6"/>
      <c r="I121" s="6"/>
      <c r="J121" s="6"/>
      <c r="K121" s="6"/>
      <c r="L121" s="6"/>
      <c r="M121" s="6"/>
      <c r="N121" s="6"/>
      <c r="O121" s="6"/>
    </row>
    <row r="122" spans="1:15" s="2" customFormat="1" ht="15.75" thickBot="1" x14ac:dyDescent="0.35">
      <c r="A122" s="13" t="s">
        <v>109</v>
      </c>
      <c r="B122" s="10">
        <v>3.0000000000000001E-3</v>
      </c>
      <c r="C122" s="10">
        <v>1E-3</v>
      </c>
      <c r="D122" s="10">
        <v>5.0000000000000001E-4</v>
      </c>
      <c r="E122" s="6"/>
      <c r="F122" s="6"/>
      <c r="G122" s="78"/>
      <c r="H122" s="6"/>
      <c r="I122" s="6"/>
      <c r="J122" s="6"/>
      <c r="K122" s="6"/>
      <c r="L122" s="6"/>
      <c r="M122" s="6"/>
      <c r="N122" s="6"/>
      <c r="O122" s="6"/>
    </row>
    <row r="123" spans="1:15" ht="15" customHeight="1" thickBot="1" x14ac:dyDescent="0.3">
      <c r="A123" s="5" t="s">
        <v>135</v>
      </c>
      <c r="B123" s="6"/>
      <c r="C123" s="6"/>
      <c r="D123" s="6"/>
      <c r="E123" s="6"/>
      <c r="F123" s="6"/>
      <c r="G123" s="78"/>
      <c r="H123" s="29"/>
      <c r="I123" s="29"/>
      <c r="J123" s="29"/>
      <c r="K123" s="30"/>
    </row>
    <row r="124" spans="1:15" s="2" customFormat="1" ht="13.5" thickBot="1" x14ac:dyDescent="0.25">
      <c r="A124" s="12" t="s">
        <v>14</v>
      </c>
      <c r="B124" s="8" t="s">
        <v>15</v>
      </c>
      <c r="C124" s="6"/>
      <c r="D124" s="6"/>
      <c r="E124" s="6"/>
      <c r="F124" s="6"/>
      <c r="G124" s="78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8" thickBot="1" x14ac:dyDescent="0.35">
      <c r="A125" s="18" t="s">
        <v>136</v>
      </c>
      <c r="B125" s="10">
        <v>5</v>
      </c>
      <c r="C125" s="6"/>
      <c r="D125" s="6"/>
      <c r="E125" s="6"/>
      <c r="F125" s="10">
        <v>5</v>
      </c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5.75" thickBot="1" x14ac:dyDescent="0.35">
      <c r="A126" s="13" t="s">
        <v>137</v>
      </c>
      <c r="B126" s="10">
        <v>50</v>
      </c>
      <c r="C126" s="6"/>
      <c r="D126" s="6"/>
      <c r="E126" s="6"/>
      <c r="F126" s="10">
        <v>50</v>
      </c>
      <c r="G126" s="78"/>
      <c r="H126" s="6"/>
      <c r="I126" s="6"/>
      <c r="J126" s="6"/>
      <c r="K126" s="6"/>
      <c r="L126" s="6"/>
      <c r="M126" s="6"/>
      <c r="N126" s="6"/>
      <c r="O126" s="6"/>
    </row>
    <row r="127" spans="1:15" s="2" customFormat="1" ht="12.75" x14ac:dyDescent="0.2">
      <c r="A127" s="19"/>
      <c r="B127" s="20"/>
      <c r="C127" s="20"/>
      <c r="D127" s="20"/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8" customHeight="1" x14ac:dyDescent="0.2">
      <c r="A128" s="3" t="s">
        <v>134</v>
      </c>
      <c r="B128" s="4"/>
      <c r="C128" s="4"/>
      <c r="D128" s="4"/>
      <c r="E128" s="4"/>
      <c r="F128" s="4"/>
      <c r="G128" s="78"/>
      <c r="H128" s="27"/>
      <c r="I128" s="27"/>
      <c r="J128" s="27"/>
      <c r="K128" s="6"/>
      <c r="L128" s="6"/>
      <c r="M128" s="6"/>
      <c r="N128" s="6"/>
      <c r="O128" s="6"/>
    </row>
    <row r="129" spans="1:15" s="2" customFormat="1" ht="13.5" thickBot="1" x14ac:dyDescent="0.25">
      <c r="A129" s="5" t="s">
        <v>18</v>
      </c>
      <c r="B129" s="6"/>
      <c r="C129" s="6"/>
      <c r="D129" s="6"/>
      <c r="E129" s="6"/>
      <c r="F129" s="6"/>
      <c r="G129" s="78"/>
      <c r="H129" s="6"/>
      <c r="I129" s="6"/>
      <c r="J129" s="6"/>
      <c r="K129" s="6"/>
      <c r="L129" s="6"/>
      <c r="M129" s="6"/>
      <c r="N129" s="6"/>
      <c r="O129" s="6"/>
    </row>
    <row r="130" spans="1:15" s="2" customFormat="1" ht="13.5" thickBot="1" x14ac:dyDescent="0.25">
      <c r="A130" s="12" t="s">
        <v>14</v>
      </c>
      <c r="B130" s="8" t="s">
        <v>333</v>
      </c>
      <c r="C130" s="8" t="s">
        <v>334</v>
      </c>
      <c r="D130" s="8" t="s">
        <v>337</v>
      </c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9.5" customHeight="1" thickBot="1" x14ac:dyDescent="0.35">
      <c r="A131" s="13" t="s">
        <v>335</v>
      </c>
      <c r="B131" s="21">
        <f>5*B132</f>
        <v>1E-4</v>
      </c>
      <c r="C131" s="21">
        <f>5*C132</f>
        <v>1E-4</v>
      </c>
      <c r="D131" s="21">
        <f>5*D132</f>
        <v>5.0000000000000002E-5</v>
      </c>
      <c r="E131" s="6"/>
      <c r="F131" s="6"/>
      <c r="G131" s="78"/>
      <c r="H131" s="27"/>
      <c r="I131" s="27"/>
      <c r="J131" s="27"/>
      <c r="K131" s="6"/>
      <c r="L131" s="6"/>
      <c r="M131" s="6"/>
      <c r="N131" s="6"/>
      <c r="O131" s="6"/>
    </row>
    <row r="132" spans="1:15" s="2" customFormat="1" ht="19.5" customHeight="1" thickBot="1" x14ac:dyDescent="0.35">
      <c r="A132" s="13" t="s">
        <v>336</v>
      </c>
      <c r="B132" s="21">
        <f>0.0002*0.1</f>
        <v>2.0000000000000002E-5</v>
      </c>
      <c r="C132" s="21">
        <f>B132</f>
        <v>2.0000000000000002E-5</v>
      </c>
      <c r="D132" s="21">
        <f>B132/2</f>
        <v>1.0000000000000001E-5</v>
      </c>
      <c r="E132" s="6"/>
      <c r="G132" s="78" t="s">
        <v>363</v>
      </c>
      <c r="H132" s="21">
        <f>0.00013*1</f>
        <v>1.2999999999999999E-4</v>
      </c>
      <c r="I132" s="21">
        <f>H132/10</f>
        <v>1.2999999999999999E-5</v>
      </c>
      <c r="J132" s="21">
        <f>H132/100</f>
        <v>1.2999999999999998E-6</v>
      </c>
      <c r="K132" s="6"/>
      <c r="L132" s="6"/>
      <c r="M132" s="6"/>
      <c r="N132" s="6"/>
      <c r="O132" s="6"/>
    </row>
    <row r="133" spans="1:15" s="2" customFormat="1" ht="15.75" thickBot="1" x14ac:dyDescent="0.35">
      <c r="A133" s="13" t="s">
        <v>111</v>
      </c>
      <c r="B133" s="10">
        <v>80</v>
      </c>
      <c r="C133" s="10">
        <v>80</v>
      </c>
      <c r="D133" s="10">
        <v>80</v>
      </c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5.75" thickBot="1" x14ac:dyDescent="0.35">
      <c r="A134" s="13" t="s">
        <v>112</v>
      </c>
      <c r="B134" s="10">
        <v>0.05</v>
      </c>
      <c r="C134" s="10">
        <v>0.05</v>
      </c>
      <c r="D134" s="10">
        <v>0.05</v>
      </c>
      <c r="E134" s="6"/>
      <c r="F134" s="6"/>
      <c r="G134" s="78"/>
      <c r="H134" s="6"/>
      <c r="I134" s="6"/>
      <c r="J134" s="6"/>
      <c r="K134" s="6"/>
      <c r="L134" s="6"/>
      <c r="M134" s="6"/>
      <c r="N134" s="6"/>
      <c r="O134" s="6"/>
    </row>
    <row r="135" spans="1:15" s="2" customFormat="1" ht="15.75" thickBot="1" x14ac:dyDescent="0.35">
      <c r="A135" s="41" t="s">
        <v>226</v>
      </c>
      <c r="B135" s="10">
        <v>2</v>
      </c>
      <c r="C135" s="10">
        <v>2</v>
      </c>
      <c r="D135" s="10">
        <v>2</v>
      </c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5.75" thickBot="1" x14ac:dyDescent="0.35">
      <c r="A136" s="13" t="s">
        <v>227</v>
      </c>
      <c r="B136" s="10">
        <v>40</v>
      </c>
      <c r="C136" s="10">
        <v>40</v>
      </c>
      <c r="D136" s="10">
        <v>40</v>
      </c>
      <c r="E136" s="6"/>
      <c r="F136" s="6"/>
      <c r="G136" s="78"/>
      <c r="H136" s="20"/>
      <c r="I136" s="20"/>
      <c r="J136" s="20"/>
      <c r="K136" s="6"/>
      <c r="L136" s="6"/>
      <c r="M136" s="6"/>
      <c r="N136" s="6"/>
      <c r="O136" s="6"/>
    </row>
    <row r="137" spans="1:15" s="2" customFormat="1" ht="13.5" thickBot="1" x14ac:dyDescent="0.25">
      <c r="A137" s="5" t="s">
        <v>44</v>
      </c>
      <c r="B137" s="6"/>
      <c r="C137" s="6"/>
      <c r="D137" s="6"/>
      <c r="E137" s="6"/>
      <c r="F137" s="6"/>
      <c r="G137" s="78"/>
      <c r="H137" s="6"/>
      <c r="I137" s="6"/>
      <c r="J137" s="6"/>
      <c r="K137" s="6"/>
      <c r="L137" s="6"/>
      <c r="M137" s="6"/>
      <c r="N137" s="6"/>
      <c r="O137" s="6"/>
    </row>
    <row r="138" spans="1:15" s="2" customFormat="1" ht="13.5" thickBot="1" x14ac:dyDescent="0.25">
      <c r="A138" s="43" t="s">
        <v>14</v>
      </c>
      <c r="B138" s="8" t="s">
        <v>362</v>
      </c>
      <c r="C138" s="87" t="s">
        <v>361</v>
      </c>
      <c r="D138" s="6"/>
      <c r="E138" s="6"/>
      <c r="F138" s="6"/>
      <c r="G138" s="78" t="s">
        <v>359</v>
      </c>
      <c r="I138" s="6"/>
      <c r="J138" s="6"/>
      <c r="K138" s="6"/>
      <c r="L138" s="6"/>
      <c r="M138" s="6"/>
      <c r="N138" s="6"/>
      <c r="O138" s="6"/>
    </row>
    <row r="139" spans="1:15" s="2" customFormat="1" ht="15.75" thickBot="1" x14ac:dyDescent="0.35">
      <c r="A139" s="44" t="s">
        <v>113</v>
      </c>
      <c r="B139" s="10">
        <v>0.6</v>
      </c>
      <c r="C139" s="88">
        <v>0.2</v>
      </c>
      <c r="D139" s="6"/>
      <c r="E139" s="6"/>
      <c r="F139" s="6"/>
      <c r="G139" s="78"/>
      <c r="H139" s="10">
        <v>0.5</v>
      </c>
      <c r="I139" s="88">
        <v>0.2</v>
      </c>
      <c r="K139" s="6"/>
      <c r="L139" s="6"/>
      <c r="M139" s="6"/>
      <c r="N139" s="6"/>
      <c r="O139" s="6"/>
    </row>
    <row r="140" spans="1:15" s="2" customFormat="1" ht="13.5" thickBot="1" x14ac:dyDescent="0.25">
      <c r="A140" s="44" t="s">
        <v>196</v>
      </c>
      <c r="B140" s="10">
        <v>2</v>
      </c>
      <c r="C140" s="6"/>
      <c r="D140" s="6"/>
      <c r="E140" s="6"/>
      <c r="F140" s="6"/>
      <c r="G140" s="78" t="s">
        <v>347</v>
      </c>
      <c r="K140" s="20"/>
      <c r="L140" s="20"/>
      <c r="M140" s="20"/>
      <c r="N140" s="6"/>
      <c r="O140" s="6"/>
    </row>
    <row r="141" spans="1:15" s="2" customFormat="1" ht="13.5" thickBot="1" x14ac:dyDescent="0.25">
      <c r="A141" s="44" t="s">
        <v>349</v>
      </c>
      <c r="B141" s="10">
        <v>12</v>
      </c>
      <c r="C141" s="6"/>
      <c r="D141" s="6"/>
      <c r="E141" s="6"/>
      <c r="F141" s="6"/>
      <c r="G141" s="78" t="s">
        <v>350</v>
      </c>
      <c r="K141" s="20"/>
      <c r="L141" s="20"/>
      <c r="M141" s="20"/>
      <c r="N141" s="6"/>
      <c r="O141" s="6"/>
    </row>
    <row r="142" spans="1:15" s="2" customFormat="1" ht="13.5" thickBot="1" x14ac:dyDescent="0.25">
      <c r="A142" s="5" t="s">
        <v>20</v>
      </c>
      <c r="B142" s="6"/>
      <c r="C142" s="6"/>
      <c r="D142" s="6"/>
      <c r="E142" s="6"/>
      <c r="F142" s="6"/>
      <c r="G142" s="78"/>
      <c r="H142" s="94"/>
      <c r="I142" s="6"/>
      <c r="J142" s="6"/>
      <c r="K142" s="6"/>
      <c r="L142" s="6"/>
      <c r="M142" s="6"/>
      <c r="N142" s="6"/>
      <c r="O142" s="6"/>
    </row>
    <row r="143" spans="1:15" s="2" customFormat="1" ht="13.5" thickBot="1" x14ac:dyDescent="0.25">
      <c r="A143" s="12" t="s">
        <v>14</v>
      </c>
      <c r="B143" s="8" t="s">
        <v>333</v>
      </c>
      <c r="C143" s="8" t="s">
        <v>334</v>
      </c>
      <c r="D143" s="8" t="s">
        <v>337</v>
      </c>
      <c r="E143" s="6"/>
      <c r="F143" s="6"/>
      <c r="G143" s="78"/>
      <c r="H143" s="20"/>
      <c r="I143" s="20"/>
      <c r="J143" s="20"/>
      <c r="K143" s="6"/>
      <c r="L143" s="6"/>
      <c r="M143" s="6"/>
      <c r="N143" s="6"/>
      <c r="O143" s="6"/>
    </row>
    <row r="144" spans="1:15" s="2" customFormat="1" ht="13.5" thickBot="1" x14ac:dyDescent="0.25">
      <c r="A144" s="13" t="s">
        <v>120</v>
      </c>
      <c r="B144" s="10">
        <v>0.1</v>
      </c>
      <c r="C144" s="10">
        <v>0.8</v>
      </c>
      <c r="D144" s="10">
        <v>0.3</v>
      </c>
      <c r="E144" s="6"/>
      <c r="F144" s="6"/>
      <c r="G144" s="78" t="s">
        <v>346</v>
      </c>
      <c r="H144" s="27"/>
      <c r="I144" s="27"/>
      <c r="J144" s="6"/>
      <c r="K144" s="6"/>
      <c r="L144" s="6"/>
      <c r="M144" s="6"/>
      <c r="N144" s="6"/>
      <c r="O144" s="6"/>
    </row>
    <row r="145" spans="1:15" s="2" customFormat="1" ht="13.5" thickBot="1" x14ac:dyDescent="0.25">
      <c r="A145" s="13" t="s">
        <v>21</v>
      </c>
      <c r="B145" s="10">
        <v>100</v>
      </c>
      <c r="C145" s="10">
        <v>3</v>
      </c>
      <c r="D145" s="10">
        <v>3</v>
      </c>
      <c r="E145" s="6"/>
      <c r="F145" s="6"/>
      <c r="G145" s="78" t="s">
        <v>353</v>
      </c>
      <c r="J145" s="6"/>
      <c r="K145" s="6"/>
      <c r="L145" s="6"/>
      <c r="M145" s="6"/>
      <c r="N145" s="6"/>
      <c r="O145" s="6"/>
    </row>
    <row r="146" spans="1:15" s="40" customFormat="1" ht="17.25" customHeight="1" thickBot="1" x14ac:dyDescent="0.25">
      <c r="A146" s="5" t="s">
        <v>22</v>
      </c>
      <c r="B146" s="6"/>
      <c r="C146" s="6"/>
      <c r="D146" s="6"/>
      <c r="E146" s="6"/>
      <c r="F146" s="6"/>
      <c r="G146" s="78"/>
      <c r="J146" s="39"/>
      <c r="K146" s="39"/>
      <c r="L146" s="39"/>
      <c r="M146" s="39"/>
      <c r="N146" s="39"/>
      <c r="O146" s="39"/>
    </row>
    <row r="147" spans="1:15" ht="15.75" thickBot="1" x14ac:dyDescent="0.3">
      <c r="A147" s="12" t="s">
        <v>14</v>
      </c>
      <c r="B147" s="8" t="s">
        <v>15</v>
      </c>
      <c r="C147" s="6"/>
      <c r="D147" s="6"/>
      <c r="E147" s="6"/>
      <c r="F147" s="6"/>
      <c r="G147" s="78"/>
    </row>
    <row r="148" spans="1:15" ht="16.5" thickBot="1" x14ac:dyDescent="0.35">
      <c r="A148" s="13" t="s">
        <v>114</v>
      </c>
      <c r="B148" s="10">
        <v>0.02</v>
      </c>
      <c r="C148" s="6"/>
      <c r="D148" s="6"/>
      <c r="E148" s="6"/>
      <c r="F148" s="6"/>
      <c r="G148" s="78"/>
    </row>
    <row r="149" spans="1:15" ht="15.75" thickBot="1" x14ac:dyDescent="0.3">
      <c r="A149" s="13" t="s">
        <v>74</v>
      </c>
      <c r="B149" s="10">
        <v>10</v>
      </c>
      <c r="C149" s="6"/>
      <c r="D149" s="6"/>
      <c r="E149" s="6"/>
      <c r="F149" s="6"/>
      <c r="G149" s="78" t="s">
        <v>69</v>
      </c>
    </row>
    <row r="150" spans="1:15" ht="15.75" thickBot="1" x14ac:dyDescent="0.3">
      <c r="A150" s="13" t="s">
        <v>68</v>
      </c>
      <c r="B150" s="10">
        <v>0.6</v>
      </c>
      <c r="C150" s="6"/>
      <c r="D150" s="6"/>
      <c r="E150" s="6"/>
      <c r="F150" s="6"/>
      <c r="G150" s="78" t="s">
        <v>282</v>
      </c>
    </row>
    <row r="151" spans="1:15" ht="15.75" thickBot="1" x14ac:dyDescent="0.3">
      <c r="A151" s="13" t="s">
        <v>123</v>
      </c>
      <c r="B151" s="10">
        <v>0</v>
      </c>
      <c r="D151" s="2"/>
      <c r="E151" s="6"/>
      <c r="F151" s="6"/>
      <c r="G151" s="78"/>
    </row>
    <row r="152" spans="1:15" ht="15.75" thickBot="1" x14ac:dyDescent="0.3">
      <c r="A152" s="13" t="s">
        <v>354</v>
      </c>
      <c r="B152" s="10">
        <v>48</v>
      </c>
      <c r="D152" s="2"/>
      <c r="E152" s="6"/>
      <c r="F152" s="6"/>
      <c r="G152" s="78"/>
    </row>
    <row r="153" spans="1:15" ht="16.5" thickBot="1" x14ac:dyDescent="0.35">
      <c r="A153" s="13" t="s">
        <v>122</v>
      </c>
      <c r="B153" s="14" t="s">
        <v>126</v>
      </c>
      <c r="C153" s="14" t="s">
        <v>127</v>
      </c>
      <c r="D153" s="38" t="s">
        <v>128</v>
      </c>
      <c r="E153" s="6"/>
      <c r="F153" s="6"/>
      <c r="G153" s="78"/>
      <c r="H153" s="60">
        <f>(D154/(B154*C154)/2/0.000073)^0.5</f>
        <v>0.10345073607529599</v>
      </c>
      <c r="I153" s="59" t="s">
        <v>201</v>
      </c>
      <c r="J153" s="61"/>
    </row>
    <row r="154" spans="1:15" ht="15.75" thickBot="1" x14ac:dyDescent="0.3">
      <c r="A154" s="13" t="s">
        <v>122</v>
      </c>
      <c r="B154" s="31">
        <v>2400</v>
      </c>
      <c r="C154" s="32">
        <v>800</v>
      </c>
      <c r="D154" s="33">
        <v>3</v>
      </c>
      <c r="E154" s="6"/>
      <c r="F154" s="6"/>
      <c r="G154" s="78"/>
      <c r="H154" s="62">
        <f>0.000073*B154*C154*H153</f>
        <v>14.499655168313486</v>
      </c>
      <c r="I154" s="59" t="s">
        <v>202</v>
      </c>
      <c r="J154"/>
    </row>
    <row r="155" spans="1:15" ht="25.5" thickBot="1" x14ac:dyDescent="0.3">
      <c r="A155" s="12" t="s">
        <v>125</v>
      </c>
      <c r="B155" s="8" t="s">
        <v>1</v>
      </c>
      <c r="C155" s="8" t="s">
        <v>2</v>
      </c>
      <c r="D155" s="6"/>
      <c r="E155" s="6"/>
      <c r="F155" s="6"/>
      <c r="G155" s="78"/>
    </row>
    <row r="156" spans="1:15" ht="16.5" thickBot="1" x14ac:dyDescent="0.35">
      <c r="A156" s="13" t="s">
        <v>121</v>
      </c>
      <c r="B156" s="21">
        <f>10*C156</f>
        <v>0.01</v>
      </c>
      <c r="C156" s="21">
        <v>1E-3</v>
      </c>
      <c r="D156" s="6"/>
      <c r="E156" s="6"/>
      <c r="F156" s="6"/>
      <c r="G156" s="78"/>
    </row>
    <row r="157" spans="1:15" ht="16.5" thickBot="1" x14ac:dyDescent="0.35">
      <c r="A157" s="13" t="s">
        <v>124</v>
      </c>
      <c r="B157" s="21">
        <f>3*C157</f>
        <v>150</v>
      </c>
      <c r="C157" s="21">
        <v>50</v>
      </c>
      <c r="D157" s="6"/>
      <c r="E157" s="6"/>
      <c r="F157" s="6"/>
      <c r="G157" s="84" t="s">
        <v>406</v>
      </c>
      <c r="H157" s="21">
        <v>50</v>
      </c>
    </row>
    <row r="158" spans="1:15" ht="15.75" thickBot="1" x14ac:dyDescent="0.3">
      <c r="A158" s="5" t="s">
        <v>23</v>
      </c>
      <c r="B158" s="6"/>
      <c r="C158" s="6"/>
      <c r="D158" s="39"/>
      <c r="E158" s="39"/>
      <c r="F158" s="39"/>
      <c r="G158" s="85"/>
    </row>
    <row r="159" spans="1:15" ht="27.75" thickBot="1" x14ac:dyDescent="0.3">
      <c r="A159" s="12" t="s">
        <v>14</v>
      </c>
      <c r="B159" s="8" t="s">
        <v>19</v>
      </c>
      <c r="C159" s="8" t="s">
        <v>62</v>
      </c>
      <c r="D159" s="89" t="s">
        <v>230</v>
      </c>
      <c r="G159" s="78" t="s">
        <v>400</v>
      </c>
      <c r="H159" s="8" t="s">
        <v>19</v>
      </c>
      <c r="I159" s="8" t="s">
        <v>62</v>
      </c>
      <c r="J159" s="89" t="s">
        <v>230</v>
      </c>
    </row>
    <row r="160" spans="1:15" ht="16.5" thickBot="1" x14ac:dyDescent="0.35">
      <c r="A160" s="13" t="s">
        <v>115</v>
      </c>
      <c r="B160" s="10">
        <v>0.06</v>
      </c>
      <c r="C160" s="10">
        <v>0.5</v>
      </c>
      <c r="D160" s="90">
        <v>250</v>
      </c>
      <c r="G160" s="85"/>
      <c r="H160" s="10">
        <v>0.06</v>
      </c>
      <c r="I160" s="10">
        <v>0.5</v>
      </c>
      <c r="J160" s="90">
        <v>250</v>
      </c>
      <c r="K160" s="95"/>
    </row>
    <row r="161" spans="1:15" ht="16.5" thickBot="1" x14ac:dyDescent="0.35">
      <c r="A161" s="7" t="s">
        <v>116</v>
      </c>
      <c r="B161" s="22">
        <f>0.02</f>
        <v>0.02</v>
      </c>
      <c r="C161" s="22">
        <v>0.3</v>
      </c>
      <c r="D161" s="91">
        <v>50</v>
      </c>
      <c r="G161" s="84"/>
      <c r="H161" s="22">
        <f>0.02</f>
        <v>0.02</v>
      </c>
      <c r="I161" s="22">
        <v>0.3</v>
      </c>
      <c r="J161" s="91">
        <v>50</v>
      </c>
      <c r="K161" s="95"/>
    </row>
    <row r="162" spans="1:15" s="2" customFormat="1" ht="18" customHeight="1" x14ac:dyDescent="0.2">
      <c r="A162" s="3" t="s">
        <v>322</v>
      </c>
      <c r="B162" s="4"/>
      <c r="C162" s="4"/>
      <c r="D162" s="4"/>
      <c r="E162" s="4"/>
      <c r="F162" s="4"/>
      <c r="G162" s="78" t="s">
        <v>401</v>
      </c>
      <c r="H162" s="6"/>
      <c r="I162" s="6"/>
      <c r="J162" s="6"/>
      <c r="K162" s="6"/>
      <c r="L162" s="6"/>
      <c r="M162" s="6"/>
      <c r="N162" s="6"/>
      <c r="O162" s="6"/>
    </row>
    <row r="163" spans="1:15" ht="15.75" thickBot="1" x14ac:dyDescent="0.3">
      <c r="A163" s="5" t="s">
        <v>311</v>
      </c>
      <c r="G163" s="78"/>
    </row>
    <row r="164" spans="1:15" ht="15.75" thickBot="1" x14ac:dyDescent="0.3">
      <c r="A164" s="12" t="s">
        <v>314</v>
      </c>
      <c r="B164" s="8" t="s">
        <v>315</v>
      </c>
      <c r="C164" s="8" t="s">
        <v>321</v>
      </c>
      <c r="G164" s="78"/>
    </row>
    <row r="165" spans="1:15" ht="16.5" thickBot="1" x14ac:dyDescent="0.35">
      <c r="A165" s="44" t="s">
        <v>113</v>
      </c>
      <c r="B165" s="10">
        <f>1+(C165-1)*0.5</f>
        <v>1</v>
      </c>
      <c r="C165" s="10">
        <v>1</v>
      </c>
      <c r="G165" s="78"/>
    </row>
    <row r="166" spans="1:15" ht="16.5" thickBot="1" x14ac:dyDescent="0.35">
      <c r="A166" s="7" t="s">
        <v>96</v>
      </c>
      <c r="B166" s="10">
        <f>1+(1/C165-1)*1</f>
        <v>1</v>
      </c>
      <c r="G166" s="78"/>
    </row>
    <row r="167" spans="1:15" ht="16.5" thickBot="1" x14ac:dyDescent="0.35">
      <c r="A167" s="13" t="s">
        <v>110</v>
      </c>
      <c r="B167" s="10">
        <f>1+(1/C165-1)*1</f>
        <v>1</v>
      </c>
      <c r="G167" s="78"/>
    </row>
    <row r="168" spans="1:15" ht="16.5" thickBot="1" x14ac:dyDescent="0.35">
      <c r="A168" s="13" t="s">
        <v>312</v>
      </c>
      <c r="B168" s="10">
        <f>1+(1/C165-1)*1</f>
        <v>1</v>
      </c>
      <c r="G168" s="78"/>
    </row>
    <row r="169" spans="1:15" ht="16.5" thickBot="1" x14ac:dyDescent="0.35">
      <c r="A169" s="13" t="s">
        <v>313</v>
      </c>
      <c r="B169" s="10">
        <f>1+(1/C165-1)*1</f>
        <v>1</v>
      </c>
      <c r="G169" s="78"/>
    </row>
    <row r="170" spans="1:15" ht="15.75" thickBot="1" x14ac:dyDescent="0.3">
      <c r="A170" s="5" t="s">
        <v>323</v>
      </c>
      <c r="G170" s="78"/>
    </row>
    <row r="171" spans="1:15" ht="15.75" thickBot="1" x14ac:dyDescent="0.3">
      <c r="A171" s="12" t="s">
        <v>326</v>
      </c>
      <c r="B171" s="8" t="s">
        <v>332</v>
      </c>
      <c r="C171" s="8" t="s">
        <v>324</v>
      </c>
      <c r="D171" s="8" t="s">
        <v>325</v>
      </c>
      <c r="E171" s="87" t="s">
        <v>343</v>
      </c>
      <c r="F171" s="58"/>
      <c r="G171" s="79"/>
    </row>
    <row r="172" spans="1:15" ht="18.75" customHeight="1" thickBot="1" x14ac:dyDescent="0.35">
      <c r="A172" s="13" t="s">
        <v>331</v>
      </c>
      <c r="B172" s="10">
        <v>1</v>
      </c>
      <c r="C172" s="10">
        <v>1</v>
      </c>
      <c r="D172" s="10">
        <v>1</v>
      </c>
      <c r="E172" s="88">
        <v>0.01</v>
      </c>
      <c r="F172" s="20"/>
      <c r="G172" s="81"/>
      <c r="H172" s="27"/>
      <c r="K172" s="20"/>
      <c r="L172" s="20"/>
    </row>
    <row r="173" spans="1:15" ht="18.75" customHeight="1" thickBot="1" x14ac:dyDescent="0.35">
      <c r="A173" s="13" t="s">
        <v>330</v>
      </c>
      <c r="B173" s="10">
        <v>0</v>
      </c>
      <c r="C173" s="10">
        <v>0.9</v>
      </c>
      <c r="D173" s="10">
        <v>0.9</v>
      </c>
      <c r="E173" s="88">
        <v>0.01</v>
      </c>
      <c r="F173" s="20"/>
      <c r="G173" s="81"/>
      <c r="H173" s="27"/>
      <c r="K173" s="20"/>
      <c r="L173" s="20"/>
    </row>
    <row r="174" spans="1:15" ht="18.75" customHeight="1" thickBot="1" x14ac:dyDescent="0.35">
      <c r="A174" s="13" t="s">
        <v>329</v>
      </c>
      <c r="B174" s="10">
        <v>0</v>
      </c>
      <c r="C174" s="10">
        <v>0.1</v>
      </c>
      <c r="D174" s="10">
        <v>0.08</v>
      </c>
      <c r="E174" s="88">
        <v>0.01</v>
      </c>
      <c r="F174" s="20"/>
      <c r="G174" s="81"/>
      <c r="H174" s="27"/>
      <c r="K174" s="20"/>
      <c r="L174" s="20"/>
    </row>
    <row r="175" spans="1:15" ht="18.75" customHeight="1" thickBot="1" x14ac:dyDescent="0.35">
      <c r="A175" s="13" t="s">
        <v>328</v>
      </c>
      <c r="B175" s="10">
        <v>0</v>
      </c>
      <c r="C175" s="10">
        <v>0</v>
      </c>
      <c r="D175" s="10">
        <v>0.01</v>
      </c>
      <c r="E175" s="88">
        <v>0.01</v>
      </c>
      <c r="F175" s="20"/>
      <c r="G175" s="81"/>
      <c r="H175" s="27"/>
      <c r="K175" s="20"/>
      <c r="L175" s="20"/>
    </row>
    <row r="176" spans="1:15" ht="18.75" customHeight="1" thickBot="1" x14ac:dyDescent="0.35">
      <c r="A176" s="13" t="s">
        <v>327</v>
      </c>
      <c r="B176" s="10">
        <v>0</v>
      </c>
      <c r="C176" s="10">
        <v>0</v>
      </c>
      <c r="D176" s="10">
        <v>0.01</v>
      </c>
      <c r="E176" s="88">
        <v>0.01</v>
      </c>
      <c r="F176" s="20"/>
      <c r="G176" s="81"/>
      <c r="H176" s="27"/>
      <c r="K176" s="20"/>
      <c r="L176" s="20"/>
    </row>
    <row r="177" spans="1:12" ht="15.75" thickBot="1" x14ac:dyDescent="0.3">
      <c r="A177" s="12" t="s">
        <v>326</v>
      </c>
      <c r="B177" s="87" t="s">
        <v>340</v>
      </c>
      <c r="C177" s="87" t="s">
        <v>341</v>
      </c>
      <c r="D177" s="87" t="s">
        <v>342</v>
      </c>
      <c r="E177" s="87" t="s">
        <v>342</v>
      </c>
      <c r="F177" s="58"/>
      <c r="G177" s="79"/>
    </row>
    <row r="178" spans="1:12" ht="18.75" customHeight="1" thickBot="1" x14ac:dyDescent="0.35">
      <c r="A178" s="13" t="s">
        <v>331</v>
      </c>
      <c r="B178" s="88">
        <v>1</v>
      </c>
      <c r="C178" s="88">
        <v>1</v>
      </c>
      <c r="D178" s="88">
        <v>0</v>
      </c>
      <c r="E178" s="88">
        <v>0</v>
      </c>
      <c r="F178" s="20"/>
      <c r="G178" s="81"/>
      <c r="H178" s="27"/>
      <c r="K178" s="20"/>
      <c r="L178" s="20"/>
    </row>
    <row r="179" spans="1:12" ht="18.75" customHeight="1" thickBot="1" x14ac:dyDescent="0.35">
      <c r="A179" s="13" t="s">
        <v>330</v>
      </c>
      <c r="B179" s="88">
        <v>1</v>
      </c>
      <c r="C179" s="88">
        <v>1</v>
      </c>
      <c r="D179" s="88">
        <v>0</v>
      </c>
      <c r="E179" s="88">
        <v>0</v>
      </c>
      <c r="F179" s="20"/>
      <c r="G179" s="81"/>
      <c r="H179" s="27"/>
      <c r="K179" s="20"/>
      <c r="L179" s="20"/>
    </row>
    <row r="180" spans="1:12" ht="18.75" customHeight="1" thickBot="1" x14ac:dyDescent="0.35">
      <c r="A180" s="13" t="s">
        <v>329</v>
      </c>
      <c r="B180" s="88">
        <v>100</v>
      </c>
      <c r="C180" s="88">
        <v>100</v>
      </c>
      <c r="D180" s="88">
        <v>0</v>
      </c>
      <c r="E180" s="88">
        <v>0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328</v>
      </c>
      <c r="B181" s="88">
        <v>0.1</v>
      </c>
      <c r="C181" s="88">
        <v>1</v>
      </c>
      <c r="D181" s="88">
        <v>0</v>
      </c>
      <c r="E181" s="88">
        <v>0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327</v>
      </c>
      <c r="B182" s="88">
        <v>0.1</v>
      </c>
      <c r="C182" s="88">
        <v>1</v>
      </c>
      <c r="D182" s="88">
        <v>0</v>
      </c>
      <c r="E182" s="88">
        <v>0</v>
      </c>
      <c r="F182" s="20"/>
      <c r="G182" s="81"/>
      <c r="H182" s="27"/>
      <c r="K182" s="20"/>
      <c r="L182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topLeftCell="A8" zoomScale="150" zoomScaleNormal="150" workbookViewId="0">
      <selection activeCell="B16" sqref="B16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5" x14ac:dyDescent="0.25">
      <c r="A1" s="99" t="s">
        <v>56</v>
      </c>
      <c r="B1" s="100">
        <v>0</v>
      </c>
      <c r="C1" s="101" t="s">
        <v>58</v>
      </c>
      <c r="D1" s="100" t="s">
        <v>229</v>
      </c>
    </row>
    <row r="2" spans="1:5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5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5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5" x14ac:dyDescent="0.25">
      <c r="A5" s="102" t="s">
        <v>308</v>
      </c>
      <c r="B5" s="103">
        <v>1</v>
      </c>
      <c r="C5" s="102" t="s">
        <v>309</v>
      </c>
      <c r="D5" s="103">
        <v>1</v>
      </c>
    </row>
    <row r="6" spans="1:5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5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5" x14ac:dyDescent="0.25">
      <c r="A8" s="102" t="s">
        <v>302</v>
      </c>
      <c r="B8" s="103">
        <v>0</v>
      </c>
      <c r="C8" s="102" t="s">
        <v>303</v>
      </c>
      <c r="D8" s="103">
        <v>0</v>
      </c>
    </row>
    <row r="9" spans="1:5" x14ac:dyDescent="0.25">
      <c r="A9" s="102" t="s">
        <v>63</v>
      </c>
      <c r="B9" s="103">
        <v>0</v>
      </c>
      <c r="C9" s="102" t="s">
        <v>307</v>
      </c>
      <c r="D9" s="103">
        <v>0</v>
      </c>
      <c r="E9" t="s">
        <v>439</v>
      </c>
    </row>
    <row r="10" spans="1:5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5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5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5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5" x14ac:dyDescent="0.25">
      <c r="A14" s="99" t="s">
        <v>55</v>
      </c>
      <c r="B14" s="100"/>
      <c r="C14" s="101"/>
      <c r="D14" s="100"/>
    </row>
    <row r="15" spans="1:5" ht="16.5" customHeight="1" x14ac:dyDescent="0.25">
      <c r="A15" s="102" t="s">
        <v>33</v>
      </c>
      <c r="B15" s="103">
        <v>2</v>
      </c>
      <c r="C15" s="102" t="s">
        <v>352</v>
      </c>
      <c r="D15" s="103">
        <v>2</v>
      </c>
    </row>
    <row r="16" spans="1:5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5" x14ac:dyDescent="0.25">
      <c r="A17" s="102" t="s">
        <v>47</v>
      </c>
      <c r="B17" s="103">
        <v>1</v>
      </c>
      <c r="C17" s="102" t="s">
        <v>228</v>
      </c>
      <c r="D17" s="103">
        <v>1</v>
      </c>
    </row>
    <row r="18" spans="1:5" ht="16.5" customHeight="1" x14ac:dyDescent="0.25">
      <c r="A18" s="102" t="s">
        <v>351</v>
      </c>
      <c r="B18" s="103">
        <v>2</v>
      </c>
      <c r="C18" s="102" t="s">
        <v>360</v>
      </c>
      <c r="D18" s="103">
        <v>2</v>
      </c>
      <c r="E18" t="s">
        <v>442</v>
      </c>
    </row>
    <row r="19" spans="1:5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5" x14ac:dyDescent="0.25">
      <c r="A20" s="102" t="s">
        <v>67</v>
      </c>
      <c r="B20" s="103">
        <v>2</v>
      </c>
      <c r="C20" s="102" t="s">
        <v>421</v>
      </c>
      <c r="D20" s="103">
        <v>1</v>
      </c>
      <c r="E20" t="s">
        <v>443</v>
      </c>
    </row>
    <row r="21" spans="1:5" x14ac:dyDescent="0.25">
      <c r="A21" s="102" t="s">
        <v>423</v>
      </c>
      <c r="B21" s="103">
        <v>1</v>
      </c>
      <c r="C21" s="102" t="s">
        <v>424</v>
      </c>
      <c r="D21" s="103"/>
      <c r="E21" t="s">
        <v>443</v>
      </c>
    </row>
    <row r="22" spans="1:5" ht="16.5" customHeight="1" x14ac:dyDescent="0.25">
      <c r="A22" s="99" t="s">
        <v>129</v>
      </c>
      <c r="B22" s="100"/>
      <c r="C22" s="101"/>
      <c r="D22" s="100"/>
    </row>
    <row r="23" spans="1:5" x14ac:dyDescent="0.25">
      <c r="A23" s="102" t="s">
        <v>35</v>
      </c>
      <c r="B23" s="103">
        <v>2</v>
      </c>
      <c r="C23" s="102" t="s">
        <v>422</v>
      </c>
      <c r="D23" s="103">
        <v>1</v>
      </c>
    </row>
    <row r="24" spans="1:5" x14ac:dyDescent="0.25">
      <c r="A24" s="102" t="s">
        <v>38</v>
      </c>
      <c r="B24" s="103">
        <v>3</v>
      </c>
      <c r="C24" s="102" t="s">
        <v>39</v>
      </c>
      <c r="D24" s="103">
        <v>1</v>
      </c>
    </row>
    <row r="25" spans="1:5" x14ac:dyDescent="0.25">
      <c r="A25" s="102" t="s">
        <v>40</v>
      </c>
      <c r="B25" s="103">
        <v>1</v>
      </c>
      <c r="C25" s="102" t="s">
        <v>139</v>
      </c>
      <c r="D25" s="103">
        <v>1</v>
      </c>
    </row>
    <row r="26" spans="1:5" x14ac:dyDescent="0.25">
      <c r="A26" s="102" t="s">
        <v>130</v>
      </c>
      <c r="B26" s="103">
        <v>2</v>
      </c>
      <c r="C26" s="102" t="s">
        <v>404</v>
      </c>
      <c r="D26" s="103">
        <v>1</v>
      </c>
    </row>
    <row r="27" spans="1:5" x14ac:dyDescent="0.25">
      <c r="A27" s="115" t="s">
        <v>425</v>
      </c>
      <c r="B27" s="117">
        <v>0</v>
      </c>
      <c r="C27" s="115" t="s">
        <v>426</v>
      </c>
      <c r="D27" s="116"/>
    </row>
    <row r="28" spans="1:5" x14ac:dyDescent="0.25">
      <c r="A28" s="102" t="s">
        <v>203</v>
      </c>
      <c r="B28" s="103">
        <v>1</v>
      </c>
      <c r="C28" s="102" t="s">
        <v>204</v>
      </c>
      <c r="D28" s="103">
        <v>1</v>
      </c>
    </row>
    <row r="29" spans="1:5" ht="17.25" customHeight="1" x14ac:dyDescent="0.25">
      <c r="A29" s="102" t="s">
        <v>427</v>
      </c>
      <c r="B29" s="103">
        <v>1</v>
      </c>
      <c r="C29" s="102" t="s">
        <v>428</v>
      </c>
      <c r="D29" s="103">
        <v>1</v>
      </c>
      <c r="E29" t="s">
        <v>444</v>
      </c>
    </row>
    <row r="30" spans="1:5" ht="15.75" customHeight="1" x14ac:dyDescent="0.25">
      <c r="A30" s="99" t="s">
        <v>57</v>
      </c>
      <c r="B30" s="100"/>
      <c r="C30" s="101"/>
      <c r="D30" s="100"/>
    </row>
    <row r="31" spans="1:5" x14ac:dyDescent="0.25">
      <c r="A31" s="102" t="s">
        <v>269</v>
      </c>
      <c r="B31" s="103">
        <v>1</v>
      </c>
      <c r="C31" s="102" t="s">
        <v>271</v>
      </c>
      <c r="D31" s="103">
        <v>1</v>
      </c>
    </row>
    <row r="32" spans="1:5" x14ac:dyDescent="0.25">
      <c r="A32" s="102" t="s">
        <v>270</v>
      </c>
      <c r="B32" s="103">
        <v>0</v>
      </c>
      <c r="C32" s="102" t="s">
        <v>272</v>
      </c>
      <c r="D32" s="103">
        <v>1</v>
      </c>
    </row>
    <row r="33" spans="1:5" x14ac:dyDescent="0.25">
      <c r="A33" s="102" t="s">
        <v>50</v>
      </c>
      <c r="B33" s="103">
        <v>0</v>
      </c>
      <c r="C33" s="102" t="s">
        <v>53</v>
      </c>
      <c r="D33" s="103">
        <v>1</v>
      </c>
      <c r="E33" t="s">
        <v>440</v>
      </c>
    </row>
    <row r="34" spans="1:5" x14ac:dyDescent="0.25">
      <c r="A34" s="102" t="s">
        <v>51</v>
      </c>
      <c r="B34" s="103">
        <v>1</v>
      </c>
      <c r="C34" s="102" t="s">
        <v>54</v>
      </c>
      <c r="D34" s="103">
        <v>1</v>
      </c>
    </row>
    <row r="35" spans="1:5" x14ac:dyDescent="0.25">
      <c r="A35" s="102" t="s">
        <v>72</v>
      </c>
      <c r="B35" s="103">
        <v>1</v>
      </c>
      <c r="C35" s="102" t="s">
        <v>71</v>
      </c>
      <c r="D35" s="103">
        <v>1</v>
      </c>
    </row>
    <row r="36" spans="1:5" x14ac:dyDescent="0.25">
      <c r="A36" s="102" t="s">
        <v>52</v>
      </c>
      <c r="B36" s="103">
        <v>0</v>
      </c>
      <c r="C36" s="102" t="s">
        <v>265</v>
      </c>
      <c r="D36" s="103">
        <v>1</v>
      </c>
    </row>
    <row r="37" spans="1:5" x14ac:dyDescent="0.25">
      <c r="A37" s="102" t="s">
        <v>41</v>
      </c>
      <c r="B37" s="103">
        <v>1</v>
      </c>
      <c r="C37" s="102" t="s">
        <v>391</v>
      </c>
      <c r="D37" s="103">
        <v>0</v>
      </c>
    </row>
    <row r="38" spans="1:5" x14ac:dyDescent="0.25">
      <c r="A38" s="102" t="s">
        <v>386</v>
      </c>
      <c r="B38" s="103">
        <v>1</v>
      </c>
      <c r="C38" s="102" t="s">
        <v>392</v>
      </c>
      <c r="D38" s="103">
        <v>0</v>
      </c>
    </row>
    <row r="39" spans="1:5" x14ac:dyDescent="0.25">
      <c r="A39" s="102" t="s">
        <v>42</v>
      </c>
      <c r="B39" s="103">
        <v>1</v>
      </c>
      <c r="C39" s="102" t="s">
        <v>320</v>
      </c>
      <c r="D39" s="103">
        <v>0</v>
      </c>
    </row>
    <row r="40" spans="1:5" ht="18.75" customHeight="1" x14ac:dyDescent="0.25">
      <c r="A40" s="102" t="s">
        <v>43</v>
      </c>
      <c r="B40" s="103">
        <v>1</v>
      </c>
      <c r="C40" s="102" t="s">
        <v>319</v>
      </c>
      <c r="D40" s="103">
        <v>1</v>
      </c>
    </row>
    <row r="41" spans="1:5" ht="18.75" customHeight="1" x14ac:dyDescent="0.25">
      <c r="A41" s="102" t="s">
        <v>198</v>
      </c>
      <c r="B41" s="103">
        <v>1</v>
      </c>
      <c r="C41" s="102" t="s">
        <v>266</v>
      </c>
      <c r="D41" s="103">
        <v>0</v>
      </c>
    </row>
    <row r="42" spans="1:5" ht="18.75" customHeight="1" x14ac:dyDescent="0.25">
      <c r="A42" s="102" t="s">
        <v>429</v>
      </c>
      <c r="B42" s="103">
        <v>3</v>
      </c>
      <c r="C42" s="102" t="s">
        <v>430</v>
      </c>
      <c r="D42" s="103"/>
      <c r="E42" t="s">
        <v>441</v>
      </c>
    </row>
    <row r="43" spans="1:5" ht="16.5" customHeight="1" x14ac:dyDescent="0.25">
      <c r="A43" s="115" t="s">
        <v>431</v>
      </c>
      <c r="B43" s="117">
        <v>1</v>
      </c>
      <c r="C43" s="115" t="s">
        <v>432</v>
      </c>
      <c r="D43" s="116"/>
    </row>
    <row r="44" spans="1:5" x14ac:dyDescent="0.25">
      <c r="A44" s="99" t="s">
        <v>59</v>
      </c>
      <c r="B44" s="100"/>
      <c r="C44" s="101"/>
      <c r="D44" s="100"/>
    </row>
    <row r="45" spans="1:5" ht="18.75" customHeight="1" x14ac:dyDescent="0.25">
      <c r="A45" s="102" t="s">
        <v>36</v>
      </c>
      <c r="B45" s="103">
        <v>2</v>
      </c>
      <c r="C45" s="102" t="s">
        <v>306</v>
      </c>
      <c r="D45" s="103">
        <v>2</v>
      </c>
    </row>
    <row r="46" spans="1:5" ht="16.5" customHeight="1" x14ac:dyDescent="0.25">
      <c r="A46" s="102" t="s">
        <v>37</v>
      </c>
      <c r="B46" s="103">
        <v>0</v>
      </c>
      <c r="C46" s="102" t="s">
        <v>225</v>
      </c>
      <c r="D46" s="103">
        <v>1</v>
      </c>
      <c r="E46" t="s">
        <v>440</v>
      </c>
    </row>
    <row r="47" spans="1:5" x14ac:dyDescent="0.25">
      <c r="A47" s="99" t="s">
        <v>210</v>
      </c>
      <c r="B47" s="100"/>
      <c r="C47" s="101"/>
      <c r="D47" s="100"/>
    </row>
    <row r="48" spans="1:5" x14ac:dyDescent="0.25">
      <c r="A48" s="102" t="s">
        <v>211</v>
      </c>
      <c r="B48" s="103">
        <v>0</v>
      </c>
      <c r="C48" s="102" t="s">
        <v>403</v>
      </c>
      <c r="D48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7"/>
  <sheetViews>
    <sheetView zoomScale="150" zoomScaleNormal="150" workbookViewId="0">
      <selection activeCell="D27" sqref="D27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420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5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17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-10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-1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0.3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395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345</v>
      </c>
      <c r="B14" s="110">
        <v>1</v>
      </c>
      <c r="C14" s="111" t="s">
        <v>389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4" x14ac:dyDescent="0.25">
      <c r="A17" s="109" t="s">
        <v>185</v>
      </c>
      <c r="B17" s="110">
        <v>7</v>
      </c>
      <c r="C17" s="113" t="s">
        <v>169</v>
      </c>
    </row>
    <row r="18" spans="1:4" x14ac:dyDescent="0.25">
      <c r="A18" s="109" t="s">
        <v>156</v>
      </c>
      <c r="B18" s="110">
        <v>7</v>
      </c>
      <c r="C18" s="113" t="s">
        <v>168</v>
      </c>
    </row>
    <row r="19" spans="1:4" x14ac:dyDescent="0.25">
      <c r="A19" s="109" t="s">
        <v>157</v>
      </c>
      <c r="B19" s="110">
        <v>5</v>
      </c>
      <c r="C19" s="113" t="s">
        <v>167</v>
      </c>
    </row>
    <row r="20" spans="1:4" x14ac:dyDescent="0.25">
      <c r="A20" s="109" t="s">
        <v>158</v>
      </c>
      <c r="B20" s="110">
        <v>0.5</v>
      </c>
      <c r="C20" s="113" t="s">
        <v>170</v>
      </c>
    </row>
    <row r="21" spans="1:4" x14ac:dyDescent="0.25">
      <c r="A21" s="109" t="s">
        <v>160</v>
      </c>
      <c r="B21" s="110">
        <v>-50</v>
      </c>
      <c r="C21" s="113" t="s">
        <v>166</v>
      </c>
    </row>
    <row r="22" spans="1:4" x14ac:dyDescent="0.25">
      <c r="A22" s="109" t="s">
        <v>161</v>
      </c>
      <c r="B22" s="110">
        <v>-5</v>
      </c>
      <c r="C22" s="113" t="s">
        <v>165</v>
      </c>
    </row>
    <row r="23" spans="1:4" ht="15.75" customHeight="1" x14ac:dyDescent="0.25">
      <c r="A23" s="109" t="s">
        <v>171</v>
      </c>
      <c r="B23" s="110">
        <v>0.3</v>
      </c>
      <c r="C23" s="113" t="s">
        <v>178</v>
      </c>
    </row>
    <row r="24" spans="1:4" x14ac:dyDescent="0.25">
      <c r="A24" s="109" t="s">
        <v>162</v>
      </c>
      <c r="B24" s="110">
        <v>0</v>
      </c>
      <c r="C24" s="113" t="s">
        <v>179</v>
      </c>
    </row>
    <row r="25" spans="1:4" x14ac:dyDescent="0.25">
      <c r="A25" s="109" t="s">
        <v>159</v>
      </c>
      <c r="B25" s="110">
        <v>0.5</v>
      </c>
      <c r="C25" s="113" t="s">
        <v>394</v>
      </c>
    </row>
    <row r="26" spans="1:4" x14ac:dyDescent="0.25">
      <c r="A26" s="109" t="s">
        <v>163</v>
      </c>
      <c r="B26" s="110">
        <v>200</v>
      </c>
      <c r="C26" s="113" t="s">
        <v>187</v>
      </c>
      <c r="D26" t="s">
        <v>445</v>
      </c>
    </row>
    <row r="27" spans="1:4" x14ac:dyDescent="0.25">
      <c r="A27" s="109" t="s">
        <v>164</v>
      </c>
      <c r="B27" s="110">
        <v>0</v>
      </c>
      <c r="C27" s="113" t="s">
        <v>174</v>
      </c>
    </row>
    <row r="28" spans="1:4" x14ac:dyDescent="0.25">
      <c r="A28" s="2"/>
      <c r="B28" s="2"/>
      <c r="C28" s="112"/>
    </row>
    <row r="29" spans="1:4" x14ac:dyDescent="0.25">
      <c r="A29" s="107" t="s">
        <v>193</v>
      </c>
      <c r="B29" s="107" t="s">
        <v>15</v>
      </c>
      <c r="C29" s="108" t="s">
        <v>148</v>
      </c>
    </row>
    <row r="30" spans="1:4" x14ac:dyDescent="0.25">
      <c r="A30" s="109" t="s">
        <v>215</v>
      </c>
      <c r="B30" s="110">
        <v>3</v>
      </c>
      <c r="C30" s="113" t="s">
        <v>197</v>
      </c>
    </row>
    <row r="31" spans="1:4" x14ac:dyDescent="0.25">
      <c r="A31" s="109" t="s">
        <v>214</v>
      </c>
      <c r="B31" s="110"/>
      <c r="C31" s="113" t="s">
        <v>216</v>
      </c>
    </row>
    <row r="32" spans="1:4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2" t="s">
        <v>433</v>
      </c>
      <c r="B34" s="110">
        <v>4</v>
      </c>
      <c r="C34" s="113" t="s">
        <v>435</v>
      </c>
    </row>
    <row r="35" spans="1:5" x14ac:dyDescent="0.25">
      <c r="A35" s="109" t="s">
        <v>434</v>
      </c>
      <c r="B35" s="110">
        <v>16</v>
      </c>
      <c r="C35" s="113" t="s">
        <v>436</v>
      </c>
    </row>
    <row r="36" spans="1:5" x14ac:dyDescent="0.25">
      <c r="A36" s="109" t="s">
        <v>437</v>
      </c>
      <c r="B36" s="110">
        <v>14</v>
      </c>
      <c r="C36" s="113" t="s">
        <v>438</v>
      </c>
    </row>
    <row r="37" spans="1:5" x14ac:dyDescent="0.25">
      <c r="A37" s="109" t="s">
        <v>217</v>
      </c>
      <c r="B37" s="110">
        <v>0</v>
      </c>
      <c r="C37" s="113" t="s">
        <v>205</v>
      </c>
    </row>
    <row r="38" spans="1:5" x14ac:dyDescent="0.25">
      <c r="A38" s="109" t="s">
        <v>218</v>
      </c>
      <c r="B38" s="110">
        <v>11</v>
      </c>
      <c r="C38" s="113" t="s">
        <v>206</v>
      </c>
    </row>
    <row r="39" spans="1:5" x14ac:dyDescent="0.25">
      <c r="A39" s="109" t="s">
        <v>219</v>
      </c>
      <c r="B39" s="110">
        <v>4</v>
      </c>
      <c r="C39" s="113" t="s">
        <v>207</v>
      </c>
    </row>
    <row r="40" spans="1:5" x14ac:dyDescent="0.25">
      <c r="A40" s="109" t="s">
        <v>200</v>
      </c>
      <c r="B40" s="110">
        <v>0</v>
      </c>
      <c r="C40" s="113" t="s">
        <v>208</v>
      </c>
    </row>
    <row r="41" spans="1:5" x14ac:dyDescent="0.25">
      <c r="A41" s="109" t="s">
        <v>220</v>
      </c>
      <c r="B41" s="110">
        <v>0.6</v>
      </c>
      <c r="C41" s="113" t="s">
        <v>221</v>
      </c>
    </row>
    <row r="42" spans="1:5" x14ac:dyDescent="0.25">
      <c r="A42" s="109" t="s">
        <v>267</v>
      </c>
      <c r="B42" s="110">
        <v>1</v>
      </c>
      <c r="C42" s="113" t="s">
        <v>268</v>
      </c>
    </row>
    <row r="43" spans="1:5" x14ac:dyDescent="0.25">
      <c r="A43" s="2"/>
      <c r="B43" s="2"/>
      <c r="C43" s="112"/>
    </row>
    <row r="44" spans="1:5" x14ac:dyDescent="0.25">
      <c r="A44" s="107" t="s">
        <v>364</v>
      </c>
      <c r="B44" s="107" t="s">
        <v>15</v>
      </c>
      <c r="C44" s="108" t="s">
        <v>384</v>
      </c>
      <c r="D44" s="92"/>
      <c r="E44" s="1"/>
    </row>
    <row r="45" spans="1:5" x14ac:dyDescent="0.25">
      <c r="A45" s="109" t="s">
        <v>365</v>
      </c>
      <c r="B45" s="110">
        <v>5</v>
      </c>
      <c r="C45" s="111" t="s">
        <v>380</v>
      </c>
      <c r="D45" s="92"/>
      <c r="E45" s="1"/>
    </row>
    <row r="46" spans="1:5" x14ac:dyDescent="0.25">
      <c r="A46" s="109" t="s">
        <v>366</v>
      </c>
      <c r="B46" s="110">
        <v>17</v>
      </c>
      <c r="C46" s="111" t="s">
        <v>390</v>
      </c>
      <c r="D46" s="92"/>
      <c r="E46" s="1"/>
    </row>
    <row r="47" spans="1:5" x14ac:dyDescent="0.25">
      <c r="A47" s="109" t="s">
        <v>367</v>
      </c>
      <c r="B47" s="110">
        <v>4</v>
      </c>
      <c r="C47" s="111" t="s">
        <v>388</v>
      </c>
      <c r="D47" s="92"/>
      <c r="E47" s="1"/>
    </row>
    <row r="48" spans="1:5" x14ac:dyDescent="0.25">
      <c r="A48" s="109" t="s">
        <v>368</v>
      </c>
      <c r="B48" s="110">
        <v>0.5</v>
      </c>
      <c r="C48" s="111" t="s">
        <v>170</v>
      </c>
      <c r="D48" s="92"/>
      <c r="E48" s="1"/>
    </row>
    <row r="49" spans="1:5" x14ac:dyDescent="0.25">
      <c r="A49" s="109" t="s">
        <v>369</v>
      </c>
      <c r="B49" s="110">
        <v>-50</v>
      </c>
      <c r="C49" s="111" t="s">
        <v>381</v>
      </c>
      <c r="D49" s="92"/>
      <c r="E49" s="1"/>
    </row>
    <row r="50" spans="1:5" ht="15.75" customHeight="1" x14ac:dyDescent="0.25">
      <c r="A50" s="109" t="s">
        <v>370</v>
      </c>
      <c r="B50" s="110">
        <v>25</v>
      </c>
      <c r="C50" s="111" t="s">
        <v>396</v>
      </c>
      <c r="D50" s="92"/>
      <c r="E50" s="1"/>
    </row>
    <row r="51" spans="1:5" x14ac:dyDescent="0.25">
      <c r="A51" s="109" t="s">
        <v>371</v>
      </c>
      <c r="B51" s="110">
        <v>0.2</v>
      </c>
      <c r="C51" s="111" t="s">
        <v>383</v>
      </c>
      <c r="D51" s="92"/>
      <c r="E51" s="1"/>
    </row>
    <row r="52" spans="1:5" x14ac:dyDescent="0.25">
      <c r="A52" s="109" t="s">
        <v>372</v>
      </c>
      <c r="B52" s="110">
        <v>40</v>
      </c>
      <c r="C52" s="111" t="s">
        <v>393</v>
      </c>
      <c r="D52" s="92"/>
      <c r="E52" s="1"/>
    </row>
    <row r="53" spans="1:5" x14ac:dyDescent="0.25">
      <c r="A53" s="109" t="s">
        <v>373</v>
      </c>
      <c r="B53" s="110">
        <v>0.05</v>
      </c>
      <c r="C53" s="111" t="s">
        <v>387</v>
      </c>
      <c r="D53" s="92"/>
      <c r="E53" s="1"/>
    </row>
    <row r="54" spans="1:5" x14ac:dyDescent="0.25">
      <c r="A54" s="109" t="s">
        <v>374</v>
      </c>
      <c r="B54" s="110">
        <v>2.5</v>
      </c>
      <c r="C54" s="111" t="s">
        <v>382</v>
      </c>
      <c r="D54" s="92"/>
      <c r="E54" s="1"/>
    </row>
    <row r="55" spans="1:5" x14ac:dyDescent="0.25">
      <c r="A55" s="109" t="s">
        <v>375</v>
      </c>
      <c r="B55" s="110">
        <v>0.2</v>
      </c>
      <c r="C55" s="111" t="s">
        <v>385</v>
      </c>
    </row>
    <row r="56" spans="1:5" x14ac:dyDescent="0.25">
      <c r="A56" s="109" t="s">
        <v>376</v>
      </c>
      <c r="B56" s="110">
        <v>11</v>
      </c>
      <c r="C56" s="113" t="s">
        <v>378</v>
      </c>
    </row>
    <row r="57" spans="1:5" x14ac:dyDescent="0.25">
      <c r="A57" s="109" t="s">
        <v>377</v>
      </c>
      <c r="B57" s="110">
        <v>4</v>
      </c>
      <c r="C57" s="113" t="s">
        <v>379</v>
      </c>
    </row>
  </sheetData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42C5-9B11-4D3E-A61E-C7A5B25592E4}">
  <dimension ref="A1:Q188"/>
  <sheetViews>
    <sheetView topLeftCell="A20" zoomScale="130" zoomScaleNormal="130" workbookViewId="0">
      <selection activeCell="C22" sqref="C22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279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402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0.72</v>
      </c>
      <c r="D6" s="10">
        <f>5*D7</f>
        <v>0.72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B7/20</f>
        <v>0.14399999999999999</v>
      </c>
      <c r="D7" s="66">
        <f>B7/20</f>
        <v>0.14399999999999999</v>
      </c>
      <c r="E7" s="70"/>
      <c r="F7" s="6"/>
      <c r="G7" s="78"/>
      <c r="H7" s="48">
        <f>M5</f>
        <v>4.4553599999999989</v>
      </c>
      <c r="I7" s="49">
        <f>C7*K7</f>
        <v>0.22276799999999994</v>
      </c>
      <c r="J7" s="49">
        <f>D7*K7</f>
        <v>0.22276799999999994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242</v>
      </c>
      <c r="B8" s="41" t="s">
        <v>243</v>
      </c>
      <c r="C8" s="41" t="s">
        <v>244</v>
      </c>
      <c r="D8" s="41" t="s">
        <v>245</v>
      </c>
      <c r="E8" s="41" t="s">
        <v>241</v>
      </c>
      <c r="F8" s="41" t="s">
        <v>355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397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242</v>
      </c>
      <c r="B14" s="41" t="s">
        <v>243</v>
      </c>
      <c r="C14" s="41" t="s">
        <v>244</v>
      </c>
      <c r="D14" s="41" t="s">
        <v>245</v>
      </c>
      <c r="E14" s="41" t="s">
        <v>246</v>
      </c>
      <c r="F14" s="41" t="s">
        <v>356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397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407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408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409</v>
      </c>
      <c r="J19" s="10">
        <v>2.9</v>
      </c>
    </row>
    <row r="20" spans="1:11" ht="15" customHeight="1" thickBot="1" x14ac:dyDescent="0.3">
      <c r="A20" s="64" t="s">
        <v>242</v>
      </c>
      <c r="B20" s="41" t="s">
        <v>243</v>
      </c>
      <c r="C20" s="41" t="s">
        <v>244</v>
      </c>
      <c r="D20" s="41" t="s">
        <v>245</v>
      </c>
      <c r="E20" s="41" t="s">
        <v>258</v>
      </c>
      <c r="F20" s="41" t="s">
        <v>357</v>
      </c>
      <c r="G20" s="79"/>
      <c r="H20" s="9">
        <v>4</v>
      </c>
      <c r="I20" s="10" t="s">
        <v>410</v>
      </c>
      <c r="J20" s="10">
        <v>3.6</v>
      </c>
      <c r="K20" s="30"/>
    </row>
    <row r="21" spans="1:11" ht="15" customHeight="1" thickBot="1" x14ac:dyDescent="0.3">
      <c r="A21" s="64" t="s">
        <v>397</v>
      </c>
      <c r="B21" s="68">
        <v>1</v>
      </c>
      <c r="C21" s="68">
        <v>0</v>
      </c>
      <c r="D21" s="68">
        <v>0</v>
      </c>
      <c r="E21" s="68">
        <v>100</v>
      </c>
      <c r="F21" s="68">
        <v>30</v>
      </c>
      <c r="G21" s="80"/>
      <c r="H21" s="9">
        <v>5</v>
      </c>
      <c r="I21" s="10" t="s">
        <v>411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412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413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/>
      <c r="H24" s="9">
        <v>8</v>
      </c>
      <c r="I24" s="10" t="s">
        <v>414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415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416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417</v>
      </c>
      <c r="J27" s="10">
        <v>3.11</v>
      </c>
    </row>
    <row r="28" spans="1:11" ht="15.75" thickBot="1" x14ac:dyDescent="0.3">
      <c r="A28" s="9">
        <v>1</v>
      </c>
      <c r="B28" s="10" t="s">
        <v>447</v>
      </c>
      <c r="C28" s="10">
        <v>0.98</v>
      </c>
      <c r="D28" s="10">
        <v>1</v>
      </c>
      <c r="E28" s="6"/>
      <c r="F28" s="6"/>
      <c r="G28" s="78"/>
      <c r="H28" s="9">
        <v>12</v>
      </c>
      <c r="I28" s="10" t="s">
        <v>418</v>
      </c>
      <c r="J28" s="10">
        <v>3.83</v>
      </c>
    </row>
    <row r="29" spans="1:11" ht="15.75" thickBot="1" x14ac:dyDescent="0.3">
      <c r="A29" s="9">
        <v>2</v>
      </c>
      <c r="B29" s="10" t="s">
        <v>448</v>
      </c>
      <c r="C29" s="10">
        <v>1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449</v>
      </c>
      <c r="C30" s="10">
        <v>0.83</v>
      </c>
      <c r="D30" s="6"/>
      <c r="E30" s="6"/>
      <c r="F30" s="6"/>
      <c r="G30" s="78"/>
      <c r="H30" s="30" t="s">
        <v>419</v>
      </c>
      <c r="I30" s="20"/>
    </row>
    <row r="31" spans="1:11" ht="15.75" thickBot="1" x14ac:dyDescent="0.3">
      <c r="A31" s="9">
        <v>4</v>
      </c>
      <c r="B31" s="10" t="s">
        <v>450</v>
      </c>
      <c r="C31" s="10">
        <v>1.6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451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452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453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454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455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456</v>
      </c>
      <c r="C37" s="10">
        <v>0.5</v>
      </c>
      <c r="D37" s="6">
        <v>0.98</v>
      </c>
      <c r="E37" s="6"/>
      <c r="F37" s="6"/>
      <c r="G37" s="78"/>
      <c r="H37" s="9">
        <v>5</v>
      </c>
      <c r="I37" s="10" t="s">
        <v>222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223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224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348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</row>
    <row r="47" spans="1:10" ht="15.75" thickBot="1" x14ac:dyDescent="0.3">
      <c r="A47" s="9" t="s">
        <v>1</v>
      </c>
      <c r="B47" s="15">
        <f>10*B48</f>
        <v>2.4999999999999998E-5</v>
      </c>
      <c r="C47" s="15">
        <f>10*C48</f>
        <v>2.4999999999999998E-5</v>
      </c>
      <c r="D47" s="15">
        <f>10*D48</f>
        <v>2.4999999999999998E-5</v>
      </c>
      <c r="E47" s="72"/>
      <c r="F47" s="27"/>
      <c r="G47" s="82" t="s">
        <v>399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0.000001*H48</f>
        <v>2.4999999999999998E-6</v>
      </c>
      <c r="C48" s="15">
        <f>0.000001*H48</f>
        <v>2.4999999999999998E-6</v>
      </c>
      <c r="D48" s="15">
        <f>0.000001*H48</f>
        <v>2.4999999999999998E-6</v>
      </c>
      <c r="E48" s="73"/>
      <c r="F48" s="27"/>
      <c r="G48" s="83"/>
      <c r="H48" s="53">
        <v>2.5</v>
      </c>
      <c r="I48" s="6">
        <v>5</v>
      </c>
    </row>
    <row r="49" spans="1:12" ht="15" customHeight="1" thickBot="1" x14ac:dyDescent="0.3">
      <c r="A49" s="64" t="s">
        <v>242</v>
      </c>
      <c r="B49" s="41" t="s">
        <v>243</v>
      </c>
      <c r="C49" s="41" t="s">
        <v>244</v>
      </c>
      <c r="D49" s="41" t="s">
        <v>245</v>
      </c>
      <c r="E49" s="41" t="s">
        <v>259</v>
      </c>
      <c r="F49" s="41" t="s">
        <v>358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398</v>
      </c>
      <c r="B50" s="68">
        <v>0</v>
      </c>
      <c r="C50" s="68">
        <v>1</v>
      </c>
      <c r="D50" s="68">
        <v>1</v>
      </c>
      <c r="E50" s="68">
        <v>50</v>
      </c>
      <c r="F50" s="68">
        <v>0</v>
      </c>
      <c r="G50" s="80"/>
      <c r="H50" s="34"/>
      <c r="I50" s="29"/>
      <c r="J50" s="29"/>
      <c r="K50" s="30"/>
    </row>
    <row r="51" spans="1:12" ht="15.75" thickBot="1" x14ac:dyDescent="0.3">
      <c r="A51" s="5" t="s">
        <v>255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254</v>
      </c>
      <c r="B52" s="8" t="s">
        <v>276</v>
      </c>
      <c r="C52" s="8" t="s">
        <v>278</v>
      </c>
      <c r="D52" s="8" t="s">
        <v>277</v>
      </c>
      <c r="E52" s="8" t="s">
        <v>102</v>
      </c>
      <c r="F52" s="58"/>
      <c r="G52" s="79"/>
    </row>
    <row r="53" spans="1:12" ht="18.75" customHeight="1" thickBot="1" x14ac:dyDescent="0.35">
      <c r="A53" s="13" t="s">
        <v>247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248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249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250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252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253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251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256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257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338</v>
      </c>
      <c r="B62" s="10">
        <v>0</v>
      </c>
      <c r="C62" s="10">
        <v>1</v>
      </c>
      <c r="D62" s="10">
        <v>1</v>
      </c>
      <c r="E62" s="10">
        <v>1</v>
      </c>
      <c r="F62" s="20"/>
      <c r="G62" s="81" t="s">
        <v>339</v>
      </c>
      <c r="H62" s="27"/>
      <c r="K62" s="20"/>
      <c r="L62" s="20"/>
    </row>
    <row r="63" spans="1:12" ht="19.5" customHeight="1" thickBot="1" x14ac:dyDescent="0.3">
      <c r="A63" s="5" t="s">
        <v>295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296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/>
      <c r="K65" s="20"/>
      <c r="L65" s="20"/>
    </row>
    <row r="66" spans="1:15" ht="15.75" thickBot="1" x14ac:dyDescent="0.3">
      <c r="A66" s="28" t="s">
        <v>2</v>
      </c>
      <c r="B66" s="17">
        <v>9.9999999999999995E-7</v>
      </c>
      <c r="C66" s="17">
        <v>9.9999999999999995E-7</v>
      </c>
      <c r="D66" s="17">
        <v>9.9999999999999995E-7</v>
      </c>
      <c r="E66" s="6"/>
      <c r="F66" s="6"/>
      <c r="G66" s="78"/>
    </row>
    <row r="67" spans="1:15" ht="15" customHeight="1" thickBot="1" x14ac:dyDescent="0.35">
      <c r="A67" s="41" t="s">
        <v>299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297</v>
      </c>
      <c r="B68" s="8" t="s">
        <v>276</v>
      </c>
      <c r="C68" s="8" t="s">
        <v>278</v>
      </c>
      <c r="D68" s="8" t="s">
        <v>277</v>
      </c>
      <c r="E68" s="8" t="s">
        <v>102</v>
      </c>
      <c r="F68" s="58"/>
      <c r="G68" s="79"/>
    </row>
    <row r="69" spans="1:15" ht="18.75" customHeight="1" thickBot="1" x14ac:dyDescent="0.35">
      <c r="A69" s="13" t="s">
        <v>300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317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9.9999999999999991E-6</v>
      </c>
      <c r="C72" s="15">
        <f>10*C73</f>
        <v>9.9999999999999991E-6</v>
      </c>
      <c r="D72" s="15">
        <f>10*D73</f>
        <v>9.9999999999999991E-6</v>
      </c>
      <c r="E72" s="6"/>
      <c r="F72" s="6"/>
      <c r="G72" s="78"/>
    </row>
    <row r="73" spans="1:15" ht="15.75" thickBot="1" x14ac:dyDescent="0.3">
      <c r="A73" s="28" t="s">
        <v>2</v>
      </c>
      <c r="B73" s="15">
        <v>9.9999999999999995E-7</v>
      </c>
      <c r="C73" s="15">
        <v>9.9999999999999995E-7</v>
      </c>
      <c r="D73" s="15">
        <v>9.9999999999999995E-7</v>
      </c>
      <c r="E73" s="6"/>
      <c r="F73" s="6"/>
      <c r="G73" s="78"/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280</v>
      </c>
      <c r="B75" s="8" t="s">
        <v>276</v>
      </c>
      <c r="C75" s="8" t="s">
        <v>278</v>
      </c>
      <c r="D75" s="8" t="s">
        <v>277</v>
      </c>
      <c r="E75" s="8" t="s">
        <v>102</v>
      </c>
      <c r="F75" s="58"/>
      <c r="G75" s="79"/>
    </row>
    <row r="76" spans="1:15" ht="18.75" customHeight="1" thickBot="1" x14ac:dyDescent="0.35">
      <c r="A76" s="13" t="s">
        <v>281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318</v>
      </c>
      <c r="H76" s="27"/>
      <c r="K76" s="20"/>
      <c r="L76" s="20"/>
    </row>
    <row r="77" spans="1:15" ht="15.75" thickBot="1" x14ac:dyDescent="0.3">
      <c r="A77" s="5" t="s">
        <v>284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254</v>
      </c>
      <c r="B78" s="8" t="s">
        <v>301</v>
      </c>
      <c r="C78" s="8" t="s">
        <v>283</v>
      </c>
      <c r="D78" s="6"/>
      <c r="E78" s="6"/>
      <c r="F78" s="6"/>
      <c r="G78" s="78"/>
      <c r="O78"/>
    </row>
    <row r="79" spans="1:15" ht="16.5" thickBot="1" x14ac:dyDescent="0.35">
      <c r="A79" s="13" t="s">
        <v>285</v>
      </c>
      <c r="B79" s="10">
        <v>1</v>
      </c>
      <c r="C79" s="10">
        <v>1</v>
      </c>
      <c r="D79" s="27"/>
      <c r="E79" s="6"/>
      <c r="F79" s="6"/>
      <c r="G79" s="78"/>
      <c r="O79"/>
    </row>
    <row r="80" spans="1:15" ht="16.5" thickBot="1" x14ac:dyDescent="0.35">
      <c r="A80" s="13" t="s">
        <v>286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287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288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289</v>
      </c>
      <c r="B83" s="10">
        <v>1</v>
      </c>
      <c r="C83" s="10">
        <v>1</v>
      </c>
      <c r="D83" s="27"/>
      <c r="E83" s="6"/>
      <c r="F83" s="6"/>
      <c r="G83" s="78"/>
      <c r="O83"/>
    </row>
    <row r="84" spans="1:16" ht="16.5" thickBot="1" x14ac:dyDescent="0.35">
      <c r="A84" s="13" t="s">
        <v>290</v>
      </c>
      <c r="B84" s="10">
        <v>1</v>
      </c>
      <c r="C84" s="10">
        <v>1</v>
      </c>
      <c r="D84" s="27"/>
      <c r="E84" s="6"/>
      <c r="F84" s="6"/>
      <c r="G84" s="78"/>
      <c r="O84"/>
    </row>
    <row r="85" spans="1:16" ht="16.5" thickBot="1" x14ac:dyDescent="0.35">
      <c r="A85" s="13" t="s">
        <v>291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292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293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274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1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275</v>
      </c>
      <c r="B91" s="10">
        <v>1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1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298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273</v>
      </c>
      <c r="B95" s="10">
        <v>0.98</v>
      </c>
      <c r="C95" s="6"/>
      <c r="D95" s="6"/>
      <c r="E95" s="6"/>
      <c r="F95" s="6"/>
      <c r="G95" s="78" t="s">
        <v>294</v>
      </c>
      <c r="I95" s="20"/>
      <c r="J95" s="20"/>
      <c r="K95" s="20"/>
      <c r="P95" s="6"/>
    </row>
    <row r="96" spans="1:16" ht="15" customHeight="1" thickBot="1" x14ac:dyDescent="0.3">
      <c r="A96" s="5" t="s">
        <v>344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254</v>
      </c>
      <c r="B97" s="8" t="s">
        <v>260</v>
      </c>
      <c r="C97" s="8" t="s">
        <v>236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231</v>
      </c>
      <c r="B98" s="10">
        <v>1</v>
      </c>
      <c r="C98" s="10">
        <v>1</v>
      </c>
      <c r="D98" s="10">
        <f>0.28</f>
        <v>0.28000000000000003</v>
      </c>
      <c r="E98" s="10">
        <f>D98*0.05</f>
        <v>1.4000000000000002E-2</v>
      </c>
      <c r="F98" s="20"/>
      <c r="G98" s="81"/>
    </row>
    <row r="99" spans="1:15" ht="16.5" thickBot="1" x14ac:dyDescent="0.35">
      <c r="A99" s="13" t="s">
        <v>232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233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234</v>
      </c>
      <c r="B101" s="10">
        <v>1</v>
      </c>
      <c r="C101" s="10">
        <v>0.02</v>
      </c>
      <c r="D101" s="114">
        <f>C101*0.2</f>
        <v>4.0000000000000001E-3</v>
      </c>
      <c r="E101" s="10">
        <f>C101*0.08</f>
        <v>1.6000000000000001E-3</v>
      </c>
      <c r="F101" s="20"/>
      <c r="G101" s="81"/>
      <c r="H101" s="20"/>
      <c r="L101" s="20"/>
      <c r="M101" s="20"/>
    </row>
    <row r="102" spans="1:15" ht="16.5" thickBot="1" x14ac:dyDescent="0.35">
      <c r="A102" s="13" t="s">
        <v>239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240</v>
      </c>
      <c r="B103" s="10">
        <v>1</v>
      </c>
      <c r="C103" s="10">
        <v>1</v>
      </c>
      <c r="D103" s="10">
        <v>0.28000000000000003</v>
      </c>
      <c r="E103" s="10">
        <f>D103*0.1</f>
        <v>2.8000000000000004E-2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235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237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1.4000000000000002E-2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238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1.4000000000000002E-2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304</v>
      </c>
      <c r="B107" s="10">
        <v>1</v>
      </c>
      <c r="C107" s="10">
        <f>C98/1</f>
        <v>1</v>
      </c>
      <c r="D107" s="10">
        <v>1</v>
      </c>
      <c r="E107" s="10">
        <v>0.2</v>
      </c>
      <c r="F107" s="20"/>
      <c r="G107" s="78" t="s">
        <v>310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305</v>
      </c>
      <c r="B108" s="10">
        <v>1</v>
      </c>
      <c r="C108" s="10">
        <f>C99/1</f>
        <v>1</v>
      </c>
      <c r="D108" s="10">
        <v>1</v>
      </c>
      <c r="E108" s="10">
        <v>0.2</v>
      </c>
      <c r="F108" s="20"/>
      <c r="G108" s="78" t="s">
        <v>316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1.2E-2</v>
      </c>
      <c r="D110" s="20"/>
      <c r="E110" s="6"/>
      <c r="F110" s="6"/>
      <c r="G110" s="93" t="s">
        <v>405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261</v>
      </c>
      <c r="B116" s="8" t="s">
        <v>276</v>
      </c>
      <c r="C116" s="8" t="s">
        <v>278</v>
      </c>
      <c r="D116" s="8" t="s">
        <v>277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262</v>
      </c>
      <c r="B121" s="8" t="s">
        <v>263</v>
      </c>
      <c r="C121" s="8" t="s">
        <v>264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0.1</v>
      </c>
      <c r="C122" s="10">
        <v>0.1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278</v>
      </c>
      <c r="C127" s="8" t="s">
        <v>277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333</v>
      </c>
      <c r="C136" s="8" t="s">
        <v>334</v>
      </c>
      <c r="D136" s="8" t="s">
        <v>337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335</v>
      </c>
      <c r="B137" s="21">
        <v>1.1999999999999999E-3</v>
      </c>
      <c r="C137" s="21">
        <f>6*C138</f>
        <v>1.2000000000000002E-4</v>
      </c>
      <c r="D137" s="21">
        <f>6*D138</f>
        <v>1.2E-5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336</v>
      </c>
      <c r="B138" s="21">
        <v>2.0000000000000001E-4</v>
      </c>
      <c r="C138" s="21">
        <v>2.0000000000000002E-5</v>
      </c>
      <c r="D138" s="21">
        <f>B138/100</f>
        <v>1.9999999999999999E-6</v>
      </c>
      <c r="E138" s="6"/>
      <c r="G138" s="78" t="s">
        <v>363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226</v>
      </c>
      <c r="B141" s="10">
        <v>2</v>
      </c>
      <c r="C141" s="10">
        <v>2</v>
      </c>
      <c r="D141" s="10">
        <v>2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227</v>
      </c>
      <c r="B142" s="10">
        <v>20</v>
      </c>
      <c r="C142" s="10">
        <v>20</v>
      </c>
      <c r="D142" s="10">
        <v>20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362</v>
      </c>
      <c r="C144" s="87" t="s">
        <v>361</v>
      </c>
      <c r="D144" s="6"/>
      <c r="E144" s="6"/>
      <c r="F144" s="6"/>
      <c r="G144" s="78" t="s">
        <v>359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0.5</v>
      </c>
      <c r="C145" s="88">
        <v>0.25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347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349</v>
      </c>
      <c r="B147" s="10">
        <v>6</v>
      </c>
      <c r="C147" s="6"/>
      <c r="D147" s="6"/>
      <c r="E147" s="6"/>
      <c r="F147" s="6"/>
      <c r="G147" s="78" t="s">
        <v>350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333</v>
      </c>
      <c r="C149" s="8" t="s">
        <v>334</v>
      </c>
      <c r="D149" s="8" t="s">
        <v>337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</v>
      </c>
      <c r="C150" s="10">
        <v>0.8</v>
      </c>
      <c r="D150" s="10">
        <v>0.3</v>
      </c>
      <c r="E150" s="6"/>
      <c r="F150" s="6"/>
      <c r="G150" s="78" t="s">
        <v>346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353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</v>
      </c>
      <c r="C155" s="6"/>
      <c r="D155" s="6"/>
      <c r="E155" s="6"/>
      <c r="F155" s="6"/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282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354</v>
      </c>
      <c r="B158" s="10">
        <v>36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v>30</v>
      </c>
      <c r="C163" s="21">
        <v>10</v>
      </c>
      <c r="D163" s="6"/>
      <c r="E163" s="6"/>
      <c r="F163" s="6"/>
      <c r="G163" s="84" t="s">
        <v>406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230</v>
      </c>
      <c r="G165" s="78" t="s">
        <v>400</v>
      </c>
      <c r="H165" s="8" t="s">
        <v>19</v>
      </c>
      <c r="I165" s="8" t="s">
        <v>62</v>
      </c>
      <c r="J165" s="89" t="s">
        <v>230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s="2" customFormat="1" ht="18" customHeight="1" x14ac:dyDescent="0.2">
      <c r="A168" s="3" t="s">
        <v>322</v>
      </c>
      <c r="B168" s="4"/>
      <c r="C168" s="4"/>
      <c r="D168" s="4"/>
      <c r="E168" s="4"/>
      <c r="F168" s="4"/>
      <c r="G168" s="78" t="s">
        <v>401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311</v>
      </c>
      <c r="G169" s="78"/>
    </row>
    <row r="170" spans="1:15" ht="15.75" thickBot="1" x14ac:dyDescent="0.3">
      <c r="A170" s="12" t="s">
        <v>314</v>
      </c>
      <c r="B170" s="8" t="s">
        <v>315</v>
      </c>
      <c r="C170" s="8" t="s">
        <v>321</v>
      </c>
      <c r="G170" s="78"/>
    </row>
    <row r="171" spans="1:15" ht="16.5" thickBot="1" x14ac:dyDescent="0.35">
      <c r="A171" s="44" t="s">
        <v>113</v>
      </c>
      <c r="B171" s="10">
        <f>1+(C171-1)*0.5</f>
        <v>1</v>
      </c>
      <c r="C171" s="10">
        <v>1</v>
      </c>
      <c r="G171" s="78"/>
    </row>
    <row r="172" spans="1:15" ht="16.5" thickBot="1" x14ac:dyDescent="0.35">
      <c r="A172" s="7" t="s">
        <v>96</v>
      </c>
      <c r="B172" s="10">
        <f>1+(1/C171-1)*1</f>
        <v>1</v>
      </c>
      <c r="G172" s="78"/>
    </row>
    <row r="173" spans="1:15" ht="16.5" thickBot="1" x14ac:dyDescent="0.35">
      <c r="A173" s="13" t="s">
        <v>110</v>
      </c>
      <c r="B173" s="10">
        <f>1+(1/C171-1)*1</f>
        <v>1</v>
      </c>
      <c r="G173" s="78"/>
    </row>
    <row r="174" spans="1:15" ht="16.5" thickBot="1" x14ac:dyDescent="0.35">
      <c r="A174" s="13" t="s">
        <v>312</v>
      </c>
      <c r="B174" s="10">
        <f>1+(1/C171-1)*1</f>
        <v>1</v>
      </c>
      <c r="G174" s="78"/>
    </row>
    <row r="175" spans="1:15" ht="16.5" thickBot="1" x14ac:dyDescent="0.35">
      <c r="A175" s="13" t="s">
        <v>313</v>
      </c>
      <c r="B175" s="10">
        <f>1+(1/C171-1)*1</f>
        <v>1</v>
      </c>
      <c r="G175" s="78"/>
    </row>
    <row r="176" spans="1:15" ht="15.75" thickBot="1" x14ac:dyDescent="0.3">
      <c r="A176" s="5" t="s">
        <v>323</v>
      </c>
      <c r="G176" s="78"/>
    </row>
    <row r="177" spans="1:12" ht="15.75" thickBot="1" x14ac:dyDescent="0.3">
      <c r="A177" s="12" t="s">
        <v>326</v>
      </c>
      <c r="B177" s="8" t="s">
        <v>332</v>
      </c>
      <c r="C177" s="8" t="s">
        <v>324</v>
      </c>
      <c r="D177" s="8" t="s">
        <v>325</v>
      </c>
      <c r="E177" s="87" t="s">
        <v>343</v>
      </c>
      <c r="F177" s="58"/>
      <c r="G177" s="79"/>
    </row>
    <row r="178" spans="1:12" ht="18.75" customHeight="1" thickBot="1" x14ac:dyDescent="0.35">
      <c r="A178" s="13" t="s">
        <v>331</v>
      </c>
      <c r="B178" s="10">
        <v>1</v>
      </c>
      <c r="C178" s="10">
        <v>1</v>
      </c>
      <c r="D178" s="10">
        <v>1</v>
      </c>
      <c r="E178" s="88">
        <v>0.01</v>
      </c>
      <c r="F178" s="20"/>
      <c r="G178" s="81"/>
      <c r="H178" s="27"/>
      <c r="K178" s="20"/>
      <c r="L178" s="20"/>
    </row>
    <row r="179" spans="1:12" ht="18.75" customHeight="1" thickBot="1" x14ac:dyDescent="0.35">
      <c r="A179" s="13" t="s">
        <v>330</v>
      </c>
      <c r="B179" s="10">
        <v>0</v>
      </c>
      <c r="C179" s="10">
        <v>0.5</v>
      </c>
      <c r="D179" s="10">
        <v>0.5</v>
      </c>
      <c r="E179" s="88">
        <v>0.01</v>
      </c>
      <c r="F179" s="20"/>
      <c r="G179" s="81"/>
      <c r="H179" s="27"/>
      <c r="K179" s="20"/>
      <c r="L179" s="20"/>
    </row>
    <row r="180" spans="1:12" ht="18.75" customHeight="1" thickBot="1" x14ac:dyDescent="0.35">
      <c r="A180" s="13" t="s">
        <v>329</v>
      </c>
      <c r="B180" s="10">
        <v>0</v>
      </c>
      <c r="C180" s="10">
        <v>0.5</v>
      </c>
      <c r="D180" s="10">
        <v>0.5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328</v>
      </c>
      <c r="B181" s="10">
        <v>0</v>
      </c>
      <c r="C181" s="10">
        <v>0</v>
      </c>
      <c r="D181" s="10">
        <v>0.01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327</v>
      </c>
      <c r="B182" s="10">
        <v>0</v>
      </c>
      <c r="C182" s="10">
        <v>0</v>
      </c>
      <c r="D182" s="10">
        <v>0.01</v>
      </c>
      <c r="E182" s="88">
        <v>0.01</v>
      </c>
      <c r="F182" s="20"/>
      <c r="G182" s="81"/>
      <c r="H182" s="27"/>
      <c r="K182" s="20"/>
      <c r="L182" s="20"/>
    </row>
    <row r="183" spans="1:12" ht="15.75" thickBot="1" x14ac:dyDescent="0.3">
      <c r="A183" s="12" t="s">
        <v>326</v>
      </c>
      <c r="B183" s="87" t="s">
        <v>340</v>
      </c>
      <c r="C183" s="87" t="s">
        <v>341</v>
      </c>
      <c r="D183" s="87" t="s">
        <v>342</v>
      </c>
      <c r="E183" s="87" t="s">
        <v>342</v>
      </c>
      <c r="F183" s="58"/>
      <c r="G183" s="79"/>
    </row>
    <row r="184" spans="1:12" ht="18.75" customHeight="1" thickBot="1" x14ac:dyDescent="0.35">
      <c r="A184" s="13" t="s">
        <v>331</v>
      </c>
      <c r="B184" s="88">
        <v>1</v>
      </c>
      <c r="C184" s="88">
        <v>1</v>
      </c>
      <c r="D184" s="88">
        <v>0</v>
      </c>
      <c r="E184" s="88">
        <v>0</v>
      </c>
      <c r="F184" s="20"/>
      <c r="G184" s="81"/>
      <c r="H184" s="27"/>
      <c r="K184" s="20"/>
      <c r="L184" s="20"/>
    </row>
    <row r="185" spans="1:12" ht="18.75" customHeight="1" thickBot="1" x14ac:dyDescent="0.35">
      <c r="A185" s="13" t="s">
        <v>330</v>
      </c>
      <c r="B185" s="88">
        <v>1</v>
      </c>
      <c r="C185" s="88">
        <v>1</v>
      </c>
      <c r="D185" s="88">
        <v>0</v>
      </c>
      <c r="E185" s="88">
        <v>0</v>
      </c>
      <c r="F185" s="20"/>
      <c r="G185" s="81"/>
      <c r="H185" s="27"/>
      <c r="K185" s="20"/>
      <c r="L185" s="20"/>
    </row>
    <row r="186" spans="1:12" ht="18.75" customHeight="1" thickBot="1" x14ac:dyDescent="0.35">
      <c r="A186" s="13" t="s">
        <v>329</v>
      </c>
      <c r="B186" s="88">
        <v>100</v>
      </c>
      <c r="C186" s="88">
        <v>100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328</v>
      </c>
      <c r="B187" s="88">
        <v>0.1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327</v>
      </c>
      <c r="B188" s="88">
        <v>0.1</v>
      </c>
      <c r="C188" s="88">
        <v>1</v>
      </c>
      <c r="D188" s="88">
        <v>0</v>
      </c>
      <c r="E188" s="88">
        <v>0</v>
      </c>
      <c r="F188" s="20"/>
      <c r="G188" s="81"/>
      <c r="H188" s="27"/>
      <c r="K188" s="20"/>
      <c r="L188" s="20"/>
    </row>
  </sheetData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Flags</vt:lpstr>
      <vt:lpstr>Activities</vt:lpstr>
      <vt:lpstr>Parameters_simair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2024-06-06T09:22:27Z</dcterms:modified>
</cp:coreProperties>
</file>