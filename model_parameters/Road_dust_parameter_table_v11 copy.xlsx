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NORTRIP\NORTRIP\NORTRIP_model_public_v3_5\model_parameters\"/>
    </mc:Choice>
  </mc:AlternateContent>
  <xr:revisionPtr revIDLastSave="0" documentId="13_ncr:1_{656F57EB-8C94-4065-AD1A-B1703EE563EC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<sst xmlns="http://schemas.openxmlformats.org/spreadsheetml/2006/main" count="561" uniqueCount="443">
  <si>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</si>
  <si>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</si>
  <si>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</si>
  <si>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</si>
  <si>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</si>
  <si>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</si>
  <si>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</si>
  <si>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</si>
  <si>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</si>
  <si>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</si>
  <si>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</si>
  <si>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</si>
  <si>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</si>
  <si>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</si>
  <si>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</si>
  <si>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</si>
  <si>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</si>
  <si>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</si>
  <si>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</si>
  <si>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</si>
  <si>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</si>
  <si>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</si>
  <si>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</si>
  <si>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</si>
  <si>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</si>
  <si>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</si>
  <si>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</si>
  <si>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</si>
  <si>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</si>
  <si>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</si>
  <si>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</si>
  <si>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</si>
  <si>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</si>
  <si>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</si>
  <si>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</si>
  <si>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</si>
  <si>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</si>
  <si>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</si>
  <si>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</si>
  <si>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</si>
  <si>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</si>
  <si>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</si>
  <si>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</si>
  <si>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</si>
  <si>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</si>
  <si>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</si>
  <si>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</si>
  <si>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</si>
  <si>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</si>
  <si>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</si>
  <si>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</si>
  <si>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</si>
  <si>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</si>
  <si>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</si>
  <si>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</si>
  <si>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</si>
  <si>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</si>
  <si>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</si>
  <si>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</si>
  <si>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</si>
  <si>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</si>
  <si>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</si>
  <si>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</si>
  <si>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</si>
  <si>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</si>
  <si>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</si>
  <si>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</si>
  <si>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</si>
  <si>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</si>
  <si>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</si>
  <si>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</si>
  <si>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</si>
  <si>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</si>
  <si>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</si>
  <si>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</si>
  <si>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</si>
  <si>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</si>
  <si>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</si>
  <si>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</si>
  <si>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</si>
  <si>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</si>
  <si>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</si>
  <si>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</si>
  <si>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</si>
  <si>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</si>
  <si>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</si>
  <si>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</si>
  <si>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</si>
  <si>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</si>
  <si>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</si>
  <si>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</si>
  <si>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</si>
  <si>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</si>
  <si>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</si>
  <si>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</si>
  <si>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</si>
  <si>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</si>
  <si>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</si>
  <si>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</si>
  <si>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</si>
  <si>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</si>
  <si>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</si>
  <si>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</si>
  <si>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</si>
  <si>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</si>
  <si>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</si>
  <si>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</si>
  <si>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</si>
  <si>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</si>
  <si>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</si>
  <si>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</si>
  <si>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</si>
  <si>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</si>
  <si>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</si>
  <si>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</si>
  <si>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</si>
  <si>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</si>
  <si>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</si>
  <si>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</si>
  <si>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</si>
  <si>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</si>
  <si>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</si>
  <si>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</si>
  <si>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</si>
  <si>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</si>
  <si>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</si>
  <si>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</si>
  <si>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</si>
  <si>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</si>
  <si>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</si>
  <si>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</si>
  <si>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</si>
  <si>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</si>
  <si>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</si>
  <si>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</si>
  <si>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</si>
  <si>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</si>
  <si>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</si>
  <si>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</si>
  <si>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</si>
  <si>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</si>
  <si>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</si>
  <si>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</si>
  <si>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</si>
  <si>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</si>
  <si>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</si>
  <si>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</si>
  <si>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</si>
  <si>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</si>
  <si>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</si>
  <si>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</si>
  <si>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</si>
  <si>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</si>
  <si>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</si>
  <si>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</si>
  <si>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</si>
  <si>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</si>
  <si>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</si>
  <si>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</si>
  <si>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</si>
  <si>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</si>
  <si>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</si>
  <si>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</si>
  <si>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</si>
  <si>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</si>
  <si>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</si>
  <si>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</si>
  <si>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</si>
  <si>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</si>
  <si>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</si>
  <si>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</si>
  <si>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</si>
  <si>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</si>
  <si>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</si>
  <si>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</si>
  <si>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</si>
  <si>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</si>
  <si>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</si>
  <si>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</si>
  <si>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</si>
  <si>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</si>
  <si>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</si>
  <si>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</si>
  <si>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</si>
  <si>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</si>
  <si>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</si>
  <si>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</si>
  <si>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</si>
  <si>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</si>
  <si>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</si>
  <si>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</si>
  <si>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</si>
  <si>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</si>
  <si>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</si>
  <si>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</si>
  <si>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</si>
  <si>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</si>
  <si>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</si>
  <si>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</si>
  <si>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</si>
  <si>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</si>
  <si>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</si>
  <si>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</si>
  <si>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</si>
  <si>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</si>
  <si>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</si>
  <si>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</si>
  <si>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</si>
  <si>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</si>
  <si>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</si>
  <si>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</si>
  <si>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</si>
  <si>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</si>
  <si>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</si>
  <si>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</si>
  <si>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</si>
  <si>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</si>
  <si>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</si>
  <si>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</si>
  <si>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</si>
  <si>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</si>
  <si>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</si>
  <si>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</si>
  <si>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</si>
  <si>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</si>
  <si>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</si>
  <si>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</si>
  <si>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</si>
  <si>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</si>
  <si>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</si>
  <si>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</si>
  <si>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</si>
  <si>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</si>
  <si>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</si>
  <si>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</si>
  <si>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</si>
  <si>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</si>
  <si>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</si>
  <si>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</si>
  <si>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</si>
  <si>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</si>
  <si>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</si>
  <si>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</si>
  <si>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</si>
  <si>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</si>
  <si>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</si>
  <si>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</si>
  <si>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</si>
  <si>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</si>
  <si>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</si>
  <si>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</si>
  <si>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</si>
  <si>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</si>
  <si>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</si>
  <si>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</si>
  <si>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</si>
  <si>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</si>
  <si>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</si>
  <si>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</si>
  <si>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</si>
  <si>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</si>
  <si>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</si>
  <si>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</si>
  <si>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</si>
  <si>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</si>
  <si>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</si>
  <si>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</si>
  <si>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</si>
  <si>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</si>
  <si>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</si>
  <si>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</si>
  <si>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</si>
  <si>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</si>
  <si>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</si>
  <si>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</si>
  <si>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</si>
  <si>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</si>
  <si>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</si>
  <si>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</si>
  <si>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</si>
  <si>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</si>
  <si>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</si>
  <si>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</si>
  <si>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</si>
  <si>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</si>
  <si>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</si>
  <si>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</si>
  <si>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</si>
  <si>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</si>
  <si>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</si>
  <si>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</si>
  <si>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</si>
  <si>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</si>
  <si>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</si>
  <si>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</si>
  <si>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</si>
  <si>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</si>
  <si>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</si>
  <si>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</si>
  <si>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</si>
  <si>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</si>
  <si>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</si>
  <si>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</si>
  <si>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</si>
  <si>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</si>
  <si>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</si>
  <si>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</si>
  <si>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</si>
  <si>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</si>
  <si>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</si>
  <si>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</si>
  <si>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</si>
  <si>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</si>
  <si>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</si>
  <si>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</si>
  <si>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</si>
  <si>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</si>
  <si>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</si>
  <si>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</si>
  <si>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</si>
  <si>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</si>
  <si>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</si>
  <si>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</si>
  <si>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</si>
  <si>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</si>
  <si>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</si>
  <si>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</si>
  <si>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</si>
  <si>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</si>
  <si>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</si>
  <si>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</si>
  <si>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</si>
  <si>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</si>
  <si>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</si>
  <si>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</si>
  <si>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</si>
  <si>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</si>
  <si>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</si>
  <si>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</si>
  <si>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</si>
  <si>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</si>
  <si>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</si>
  <si>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</si>
  <si>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</si>
  <si>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</si>
  <si>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</si>
  <si>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</si>
  <si>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</si>
  <si>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</si>
  <si>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</si>
  <si>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</si>
  <si>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</si>
  <si>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</si>
  <si>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</si>
  <si>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</si>
  <si>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</si>
  <si>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</si>
  <si>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</si>
  <si>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</si>
  <si>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</si>
  <si>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</si>
  <si>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</si>
  <si>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</si>
  <si>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</si>
  <si>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</si>
  <si>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</si>
  <si>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</si>
  <si>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</si>
  <si>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</si>
  <si>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</si>
  <si>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</si>
  <si>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</si>
  <si>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</si>
  <si>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</si>
  <si>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</si>
  <si>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</si>
  <si>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</si>
  <si>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</si>
  <si>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</si>
  <si>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</si>
  <si>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</si>
  <si>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</si>
  <si>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</si>
  <si>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</si>
  <si>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</si>
  <si>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</si>
  <si>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</si>
  <si>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</si>
  <si>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</si>
  <si>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</si>
  <si>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</si>
  <si>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</si>
  <si>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</si>
  <si>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</si>
  <si>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</si>
  <si>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</si>
  <si>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</si>
  <si>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</si>
  <si>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</si>
  <si>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</si>
  <si>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</si>
  <si>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</si>
  <si>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</si>
  <si>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</si>
  <si>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</si>
  <si>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</si>
  <si>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</si>
  <si>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</si>
  <si>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</si>
  <si>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</si>
  <si>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</si>
  <si>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</si>
  <si>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</si>
  <si>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</si>
  <si>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</si>
  <si>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</si>
  <si>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</si>
  <si>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</si>
  <si>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</si>
  <si>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</si>
  <si>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</si>
  <si>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</si>
  <si>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</si>
  <si>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</si>
  <si>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</si>
  <si>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</si>
  <si>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</si>
  <si>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</si>
  <si>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</si>
  <si>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</si>
  <si>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</si>
  <si>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</si>
  <si>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</si>
  <si>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</si>
  <si>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</si>
  <si>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</si>
  <si>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FORECAST</t>
  </si>
  <si>
    <t xml:space="preserve">forecast_type_flag      </t>
  </si>
  <si>
    <t>use_observed_temperature_init_flag</t>
  </si>
  <si>
    <t>Set length of forecast in hours (0 = no forecast)</t>
  </si>
  <si>
    <t>1 is normal forecast, 2 is persistence, 3 is bias correction from last obs, 4 is interpolated trend (last two measurements) bias correction</t>
  </si>
  <si>
    <t>Use the underlaying subsurface in the energy balance calculations. 1 using running mean air temp, 2 relaxed slab temp,3 relaxed air temp</t>
  </si>
  <si>
    <t>Explicitly set the initial temperature for the forecast to observed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</si>
</sst>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  <xf numFmtId="0" fontId="31" fillId="0" borderId="27" xfId="0" applyFont="1" applyBorder="1" applyAlignment="1">
      <alignment wrapText="1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2" zoomScaleNormal="100" workbookViewId="0">
      <selection activeCell="C111" sqref="C111"/>
    </sheetView>
  </sheetViews>
  <sheetFormatPr defaultColWidth="8.85546875" defaultRowHeight="15" x14ac:dyDescent="0.25"/>
  <cols>
    <col min="1" max="1" width="41.42578125" customWidth="1"/>
    <col min="2" max="4" width="18.7109375" customWidth="1"/>
    <col min="5" max="6" width="20.140625" customWidth="1"/>
    <col min="7" max="7" width="54.7109375" style="86" customWidth="1"/>
    <col min="8" max="8" width="19" style="6" customWidth="1"/>
    <col min="9" max="9" width="11.42578125" style="6" customWidth="1"/>
    <col min="10" max="10" width="13.28515625" style="6" customWidth="1"/>
    <col min="11" max="11" width="16" style="6" customWidth="1"/>
    <col min="12" max="12" width="21" style="6" customWidth="1"/>
    <col min="13" max="13" width="14.42578125" style="6" customWidth="1"/>
    <col min="14" max="14" width="11.42578125" style="6" bestFit="1" customWidth="1"/>
    <col min="15" max="15" width="9.140625" style="6"/>
  </cols>
  <sheetData>
    <row r="1" spans="1:17" x14ac:dyDescent="0.25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5">
      <c r="E2" s="69"/>
      <c r="F2" s="69"/>
      <c r="G2" s="77" t="s">
        <v>430</v>
      </c>
    </row>
    <row r="3" spans="1:17" x14ac:dyDescent="0.25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5.75" thickBot="1" x14ac:dyDescent="0.3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3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3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3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3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3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5.75" thickBot="1" x14ac:dyDescent="0.3">
      <c r="A10" s="5" t="s">
        <v>82</v>
      </c>
      <c r="B10" s="6"/>
      <c r="C10" s="6"/>
      <c r="D10" s="6"/>
      <c r="E10" s="6"/>
      <c r="F10" s="6"/>
      <c r="G10" s="78"/>
    </row>
    <row r="11" spans="1:17" ht="16.5" thickBot="1" x14ac:dyDescent="0.3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5.75" thickBot="1" x14ac:dyDescent="0.3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5.75" thickBot="1" x14ac:dyDescent="0.3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3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3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.5" thickBot="1" x14ac:dyDescent="0.3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3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408</v>
      </c>
      <c r="J17" s="10">
        <v>1.9</v>
      </c>
    </row>
    <row r="18" spans="1:11" ht="15.75" thickBot="1" x14ac:dyDescent="0.3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409</v>
      </c>
      <c r="J18" s="10">
        <v>2.3199999999999998</v>
      </c>
    </row>
    <row r="19" spans="1:11" ht="15.75" thickBot="1" x14ac:dyDescent="0.3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410</v>
      </c>
      <c r="J19" s="10">
        <v>2.9</v>
      </c>
    </row>
    <row r="20" spans="1:11" ht="15" customHeight="1" thickBot="1" x14ac:dyDescent="0.3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411</v>
      </c>
      <c r="J20" s="10">
        <v>3.6</v>
      </c>
      <c r="K20" s="30"/>
    </row>
    <row r="21" spans="1:11" ht="15" customHeight="1" thickBot="1" x14ac:dyDescent="0.3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412</v>
      </c>
      <c r="J21" s="10">
        <v>1.5</v>
      </c>
      <c r="K21" s="29"/>
    </row>
    <row r="22" spans="1:11" ht="15.75" thickBot="1" x14ac:dyDescent="0.3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413</v>
      </c>
      <c r="J22" s="10">
        <v>1.98</v>
      </c>
    </row>
    <row r="23" spans="1:11" ht="15.75" thickBot="1" x14ac:dyDescent="0.3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414</v>
      </c>
      <c r="J23" s="10">
        <v>2.56</v>
      </c>
    </row>
    <row r="24" spans="1:11" ht="16.5" thickBot="1" x14ac:dyDescent="0.3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415</v>
      </c>
      <c r="J24" s="10">
        <v>3.28</v>
      </c>
    </row>
    <row r="25" spans="1:11" ht="15.75" thickBot="1" x14ac:dyDescent="0.3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416</v>
      </c>
      <c r="J25" s="10">
        <v>2.1</v>
      </c>
    </row>
    <row r="26" spans="1:11" ht="15.75" thickBot="1" x14ac:dyDescent="0.3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417</v>
      </c>
      <c r="J26" s="10">
        <v>2.5299999999999998</v>
      </c>
    </row>
    <row r="27" spans="1:11" ht="16.5" thickBot="1" x14ac:dyDescent="0.3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418</v>
      </c>
      <c r="J27" s="10">
        <v>3.11</v>
      </c>
    </row>
    <row r="28" spans="1:11" ht="15.75" thickBot="1" x14ac:dyDescent="0.3">
      <c r="A28" s="9">
        <v>1</v>
      </c>
      <c r="B28" s="10" t="s">
        <v>411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419</v>
      </c>
      <c r="J28" s="10">
        <v>3.83</v>
      </c>
    </row>
    <row r="29" spans="1:11" ht="15.75" thickBot="1" x14ac:dyDescent="0.3">
      <c r="A29" s="9">
        <v>2</v>
      </c>
      <c r="B29" s="10" t="s">
        <v>410</v>
      </c>
      <c r="C29" s="10">
        <v>2.9</v>
      </c>
      <c r="D29" s="6"/>
      <c r="E29" s="6"/>
      <c r="F29" s="6"/>
      <c r="G29" s="78"/>
      <c r="H29" s="30"/>
      <c r="I29" s="20"/>
    </row>
    <row r="30" spans="1:11" ht="15.75" thickBot="1" x14ac:dyDescent="0.3">
      <c r="A30" s="9">
        <v>3</v>
      </c>
      <c r="B30" s="10" t="s">
        <v>409</v>
      </c>
      <c r="C30" s="10">
        <v>2.3199999999999998</v>
      </c>
      <c r="D30" s="6"/>
      <c r="E30" s="6"/>
      <c r="F30" s="6"/>
      <c r="G30" s="78"/>
      <c r="H30" s="30" t="s">
        <v>420</v>
      </c>
      <c r="I30" s="20"/>
    </row>
    <row r="31" spans="1:11" ht="15.75" thickBot="1" x14ac:dyDescent="0.3">
      <c r="A31" s="9">
        <v>4</v>
      </c>
      <c r="B31" s="10" t="s">
        <v>408</v>
      </c>
      <c r="C31" s="10">
        <v>1.9</v>
      </c>
      <c r="D31" s="11"/>
      <c r="E31" s="6"/>
      <c r="F31" s="6"/>
      <c r="G31" s="78"/>
      <c r="H31" s="30"/>
      <c r="I31" s="20"/>
    </row>
    <row r="32" spans="1:11" ht="16.5" thickBot="1" x14ac:dyDescent="0.3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5.75" thickBot="1" x14ac:dyDescent="0.3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5.5" thickBot="1" x14ac:dyDescent="0.3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5.75" thickBot="1" x14ac:dyDescent="0.3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5.75" thickBot="1" x14ac:dyDescent="0.3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5.75" thickBot="1" x14ac:dyDescent="0.3">
      <c r="A37" s="9">
        <v>10</v>
      </c>
      <c r="B37" s="10" t="s">
        <v>422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5.5" thickBot="1" x14ac:dyDescent="0.3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5.75" thickBot="1" x14ac:dyDescent="0.3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3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5.75" thickBot="1" x14ac:dyDescent="0.3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5.75" thickBot="1" x14ac:dyDescent="0.3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5.75" thickBot="1" x14ac:dyDescent="0.3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5.75" thickBot="1" x14ac:dyDescent="0.3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5.75" thickBot="1" x14ac:dyDescent="0.3">
      <c r="A45" s="5" t="s">
        <v>11</v>
      </c>
      <c r="B45" s="6"/>
      <c r="C45" s="6"/>
      <c r="D45" s="6"/>
      <c r="E45" s="6"/>
      <c r="F45" s="6"/>
      <c r="G45" s="78"/>
    </row>
    <row r="46" spans="1:10" ht="16.5" thickBot="1" x14ac:dyDescent="0.3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5.75" thickBot="1" x14ac:dyDescent="0.3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3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3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3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5.75" thickBot="1" x14ac:dyDescent="0.3">
      <c r="A51" s="5" t="s">
        <v>257</v>
      </c>
      <c r="B51" s="6"/>
      <c r="C51" s="6"/>
      <c r="D51" s="6"/>
      <c r="E51" s="6"/>
      <c r="F51" s="6"/>
      <c r="G51" s="78"/>
    </row>
    <row r="52" spans="1:12" ht="15.75" thickBot="1" x14ac:dyDescent="0.3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3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3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3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3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3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3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3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3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3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3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3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.5" thickBot="1" x14ac:dyDescent="0.3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5.75" thickBot="1" x14ac:dyDescent="0.3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429</v>
      </c>
      <c r="K65" s="20"/>
      <c r="L65" s="20"/>
    </row>
    <row r="66" spans="1:15" ht="15.75" thickBot="1" x14ac:dyDescent="0.3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3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5.75" thickBot="1" x14ac:dyDescent="0.3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3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5.75" thickBot="1" x14ac:dyDescent="0.3">
      <c r="A70" s="5" t="s">
        <v>60</v>
      </c>
      <c r="B70" s="6"/>
      <c r="C70" s="6"/>
      <c r="D70" s="6"/>
      <c r="E70" s="6"/>
      <c r="F70" s="6"/>
      <c r="G70" s="78"/>
    </row>
    <row r="71" spans="1:15" ht="16.5" thickBot="1" x14ac:dyDescent="0.3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429</v>
      </c>
    </row>
    <row r="72" spans="1:15" ht="15.75" thickBot="1" x14ac:dyDescent="0.3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5.75" thickBot="1" x14ac:dyDescent="0.3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3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5.75" thickBot="1" x14ac:dyDescent="0.3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3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5.75" thickBot="1" x14ac:dyDescent="0.3">
      <c r="A77" s="5" t="s">
        <v>286</v>
      </c>
      <c r="B77" s="6"/>
      <c r="C77" s="6"/>
      <c r="D77" s="6"/>
      <c r="E77" s="6"/>
      <c r="F77" s="6"/>
      <c r="G77" s="78"/>
    </row>
    <row r="78" spans="1:15" ht="15.75" thickBot="1" x14ac:dyDescent="0.3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.5" thickBot="1" x14ac:dyDescent="0.3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.5" thickBot="1" x14ac:dyDescent="0.3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.5" thickBot="1" x14ac:dyDescent="0.3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.5" thickBot="1" x14ac:dyDescent="0.3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.5" thickBot="1" x14ac:dyDescent="0.3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.5" thickBot="1" x14ac:dyDescent="0.3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.5" thickBot="1" x14ac:dyDescent="0.3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.5" thickBot="1" x14ac:dyDescent="0.3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.5" thickBot="1" x14ac:dyDescent="0.3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5.75" thickBot="1" x14ac:dyDescent="0.3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5.75" thickBot="1" x14ac:dyDescent="0.3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.5" thickBot="1" x14ac:dyDescent="0.3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.5" thickBot="1" x14ac:dyDescent="0.3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.5" thickBot="1" x14ac:dyDescent="0.3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.5" thickBot="1" x14ac:dyDescent="0.3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.5" thickBot="1" x14ac:dyDescent="0.3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.5" thickBot="1" x14ac:dyDescent="0.3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3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3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.5" thickBot="1" x14ac:dyDescent="0.3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.5" thickBot="1" x14ac:dyDescent="0.3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429</v>
      </c>
      <c r="L99" s="20"/>
      <c r="M99" s="20"/>
    </row>
    <row r="100" spans="1:15" ht="16.5" thickBot="1" x14ac:dyDescent="0.3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.5" thickBot="1" x14ac:dyDescent="0.3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.5" thickBot="1" x14ac:dyDescent="0.3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3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.5" thickBot="1" x14ac:dyDescent="0.3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.5" thickBot="1" x14ac:dyDescent="0.3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.5" thickBot="1" x14ac:dyDescent="0.3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.5" thickBot="1" x14ac:dyDescent="0.3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.5" thickBot="1" x14ac:dyDescent="0.3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3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.5" thickBot="1" x14ac:dyDescent="0.35">
      <c r="A110" s="41" t="s">
        <v>119</v>
      </c>
      <c r="B110" s="10">
        <v>0</v>
      </c>
      <c r="D110" s="20"/>
      <c r="E110" s="6"/>
      <c r="F110" s="6"/>
      <c r="G110" s="93" t="s">
        <v>406</v>
      </c>
    </row>
    <row r="111" spans="1:15" ht="18.75" customHeight="1" thickBot="1" x14ac:dyDescent="0.3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3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3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3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5.75" thickBot="1" x14ac:dyDescent="0.3">
      <c r="A115" s="5" t="s">
        <v>61</v>
      </c>
      <c r="B115" s="6"/>
      <c r="C115" s="6"/>
      <c r="D115" s="6"/>
      <c r="E115" s="6"/>
      <c r="F115" s="6"/>
      <c r="G115" s="79"/>
    </row>
    <row r="116" spans="1:15" ht="15.75" thickBot="1" x14ac:dyDescent="0.3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.5" thickBot="1" x14ac:dyDescent="0.3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.5" thickBot="1" x14ac:dyDescent="0.3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.5" thickBot="1" x14ac:dyDescent="0.3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.5" thickBot="1" x14ac:dyDescent="0.3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5.75" thickBot="1" x14ac:dyDescent="0.3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.5" thickBot="1" x14ac:dyDescent="0.3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ht="15.75" thickBot="1" x14ac:dyDescent="0.3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ht="15.75" thickBot="1" x14ac:dyDescent="0.3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ht="15.75" thickBot="1" x14ac:dyDescent="0.3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ht="13.5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ht="14.25" thickBot="1" x14ac:dyDescent="0.3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ht="15.75" thickBot="1" x14ac:dyDescent="0.3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3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ht="13.5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3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5.75" thickBot="1" x14ac:dyDescent="0.3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2.75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ht="13.5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ht="13.5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3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3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ht="15.75" thickBot="1" x14ac:dyDescent="0.3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ht="15.75" thickBot="1" x14ac:dyDescent="0.3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ht="15.75" thickBot="1" x14ac:dyDescent="0.3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ht="15.75" thickBot="1" x14ac:dyDescent="0.3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ht="13.5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ht="13.5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ht="15.75" thickBot="1" x14ac:dyDescent="0.3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ht="13.5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ht="13.5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ht="13.5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ht="13.5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ht="13.5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ht="13.5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5.75" thickBot="1" x14ac:dyDescent="0.3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.5" thickBot="1" x14ac:dyDescent="0.3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5.75" thickBot="1" x14ac:dyDescent="0.3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5.75" thickBot="1" x14ac:dyDescent="0.3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5.75" thickBot="1" x14ac:dyDescent="0.3">
      <c r="A157" s="13" t="s">
        <v>123</v>
      </c>
      <c r="B157" s="10">
        <v>0</v>
      </c>
      <c r="D157" s="2"/>
      <c r="E157" s="6"/>
      <c r="F157" s="6"/>
      <c r="G157" s="78"/>
    </row>
    <row r="158" spans="1:15" ht="15.75" thickBot="1" x14ac:dyDescent="0.3">
      <c r="A158" s="13" t="s">
        <v>356</v>
      </c>
      <c r="B158" s="10">
        <v>48</v>
      </c>
      <c r="D158" s="2"/>
      <c r="E158" s="6"/>
      <c r="F158" s="6"/>
      <c r="G158" s="78"/>
    </row>
    <row r="159" spans="1:15" ht="16.5" thickBot="1" x14ac:dyDescent="0.3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5.75" thickBot="1" x14ac:dyDescent="0.3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5.75" thickBot="1" x14ac:dyDescent="0.3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.5" thickBot="1" x14ac:dyDescent="0.3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.5" thickBot="1" x14ac:dyDescent="0.3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407</v>
      </c>
      <c r="H163" s="21">
        <v>50</v>
      </c>
    </row>
    <row r="164" spans="1:15" ht="15.75" thickBot="1" x14ac:dyDescent="0.3">
      <c r="A164" s="5" t="s">
        <v>23</v>
      </c>
      <c r="B164" s="6"/>
      <c r="C164" s="6"/>
      <c r="D164" s="39"/>
      <c r="E164" s="39"/>
      <c r="F164" s="39"/>
      <c r="G164" s="85"/>
    </row>
    <row r="165" spans="1:15" ht="27.75" thickBot="1" x14ac:dyDescent="0.3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.5" thickBot="1" x14ac:dyDescent="0.3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.5" thickBot="1" x14ac:dyDescent="0.3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5">
      <c r="A168" s="5" t="s">
        <v>425</v>
      </c>
      <c r="B168" s="20"/>
      <c r="C168" s="20"/>
      <c r="G168" s="84"/>
      <c r="H168" s="20"/>
      <c r="I168" s="20"/>
      <c r="J168"/>
      <c r="K168" s="95"/>
    </row>
    <row r="169" spans="1:15" x14ac:dyDescent="0.25">
      <c r="A169" s="19" t="s">
        <v>426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5.75" thickBot="1" x14ac:dyDescent="0.3">
      <c r="A171" s="5" t="s">
        <v>313</v>
      </c>
      <c r="G171" s="78"/>
    </row>
    <row r="172" spans="1:15" ht="15.75" thickBot="1" x14ac:dyDescent="0.3">
      <c r="A172" s="12" t="s">
        <v>316</v>
      </c>
      <c r="B172" s="8" t="s">
        <v>317</v>
      </c>
      <c r="C172" s="8" t="s">
        <v>323</v>
      </c>
      <c r="G172" s="78"/>
    </row>
    <row r="173" spans="1:15" ht="16.5" thickBot="1" x14ac:dyDescent="0.35">
      <c r="A173" s="44" t="s">
        <v>113</v>
      </c>
      <c r="B173" s="10">
        <f>1+(C173-1)*0.5</f>
        <v>1</v>
      </c>
      <c r="C173" s="10">
        <v>1</v>
      </c>
      <c r="G173" s="78"/>
    </row>
    <row r="174" spans="1:15" ht="16.5" thickBot="1" x14ac:dyDescent="0.35">
      <c r="A174" s="7" t="s">
        <v>96</v>
      </c>
      <c r="B174" s="10">
        <f>1+(1/C173-1)*1</f>
        <v>1</v>
      </c>
      <c r="G174" s="78"/>
    </row>
    <row r="175" spans="1:15" ht="16.5" thickBot="1" x14ac:dyDescent="0.35">
      <c r="A175" s="13" t="s">
        <v>110</v>
      </c>
      <c r="B175" s="10">
        <f>1+(1/C173-1)*1</f>
        <v>1</v>
      </c>
      <c r="G175" s="78"/>
    </row>
    <row r="176" spans="1:15" ht="16.5" thickBot="1" x14ac:dyDescent="0.35">
      <c r="A176" s="13" t="s">
        <v>314</v>
      </c>
      <c r="B176" s="10">
        <f>1+(1/C173-1)*1</f>
        <v>1</v>
      </c>
      <c r="G176" s="78"/>
    </row>
    <row r="177" spans="1:12" ht="16.5" thickBot="1" x14ac:dyDescent="0.35">
      <c r="A177" s="13" t="s">
        <v>315</v>
      </c>
      <c r="B177" s="10">
        <f>1+(1/C173-1)*1</f>
        <v>1</v>
      </c>
      <c r="G177" s="78"/>
    </row>
    <row r="178" spans="1:12" ht="15.75" thickBot="1" x14ac:dyDescent="0.3">
      <c r="A178" s="5" t="s">
        <v>325</v>
      </c>
      <c r="G178" s="78"/>
    </row>
    <row r="179" spans="1:12" ht="15.75" thickBot="1" x14ac:dyDescent="0.3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3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3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3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3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3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5.75" thickBot="1" x14ac:dyDescent="0.3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3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3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3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3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3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0"/>
  <sheetViews>
    <sheetView tabSelected="1" topLeftCell="A8" zoomScale="115" zoomScaleNormal="115" workbookViewId="0">
      <selection activeCell="I43" sqref="I43"/>
    </sheetView>
  </sheetViews>
  <sheetFormatPr defaultColWidth="8.85546875" defaultRowHeight="15" x14ac:dyDescent="0.25"/>
  <cols>
    <col min="1" max="1" width="26.7109375" customWidth="1"/>
    <col min="2" max="2" width="6.42578125" style="1" customWidth="1"/>
    <col min="3" max="3" width="102.5703125" customWidth="1"/>
    <col min="4" max="4" width="9.42578125" style="1" customWidth="1"/>
    <col min="6" max="6" width="12.28515625" bestFit="1" customWidth="1"/>
  </cols>
  <sheetData>
    <row r="1" spans="1:4" x14ac:dyDescent="0.25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5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5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5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5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5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5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5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5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5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5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5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5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5">
      <c r="A14" s="99" t="s">
        <v>55</v>
      </c>
      <c r="B14" s="100"/>
      <c r="C14" s="101"/>
      <c r="D14" s="100"/>
    </row>
    <row r="15" spans="1:4" ht="16.5" customHeight="1" x14ac:dyDescent="0.25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5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5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5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5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5">
      <c r="A20" s="102" t="s">
        <v>67</v>
      </c>
      <c r="B20" s="103">
        <v>1</v>
      </c>
      <c r="C20" s="102" t="s">
        <v>423</v>
      </c>
      <c r="D20" s="103">
        <v>1</v>
      </c>
    </row>
    <row r="21" spans="1:4" x14ac:dyDescent="0.25">
      <c r="A21" s="99" t="s">
        <v>129</v>
      </c>
      <c r="B21" s="100"/>
      <c r="C21" s="101"/>
      <c r="D21" s="100"/>
    </row>
    <row r="22" spans="1:4" ht="16.5" customHeight="1" x14ac:dyDescent="0.25">
      <c r="A22" s="102" t="s">
        <v>35</v>
      </c>
      <c r="B22" s="103">
        <v>2</v>
      </c>
      <c r="C22" s="102" t="s">
        <v>424</v>
      </c>
      <c r="D22" s="103">
        <v>1</v>
      </c>
    </row>
    <row r="23" spans="1:4" x14ac:dyDescent="0.25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5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5">
      <c r="A25" s="102" t="s">
        <v>130</v>
      </c>
      <c r="B25" s="103">
        <v>2</v>
      </c>
      <c r="C25" s="102" t="s">
        <v>441</v>
      </c>
      <c r="D25" s="103">
        <v>1</v>
      </c>
    </row>
    <row r="26" spans="1:4" x14ac:dyDescent="0.25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5">
      <c r="A27" s="102" t="s">
        <v>431</v>
      </c>
      <c r="B27" s="103">
        <v>1</v>
      </c>
      <c r="C27" s="102" t="s">
        <v>432</v>
      </c>
      <c r="D27" s="103">
        <v>1</v>
      </c>
    </row>
    <row r="28" spans="1:4" x14ac:dyDescent="0.25">
      <c r="A28" s="99" t="s">
        <v>436</v>
      </c>
      <c r="B28" s="100"/>
      <c r="C28" s="101"/>
      <c r="D28" s="100"/>
    </row>
    <row r="29" spans="1:4" x14ac:dyDescent="0.25">
      <c r="A29" s="102" t="s">
        <v>435</v>
      </c>
      <c r="B29" s="103">
        <v>0</v>
      </c>
      <c r="C29" s="102" t="s">
        <v>439</v>
      </c>
      <c r="D29" s="103">
        <v>0</v>
      </c>
    </row>
    <row r="30" spans="1:4" x14ac:dyDescent="0.25">
      <c r="A30" s="116" t="s">
        <v>433</v>
      </c>
      <c r="B30" s="117">
        <v>1</v>
      </c>
      <c r="C30" s="116" t="s">
        <v>434</v>
      </c>
      <c r="D30" s="117">
        <v>0</v>
      </c>
    </row>
    <row r="31" spans="1:4" ht="14.25" customHeight="1" x14ac:dyDescent="0.25">
      <c r="A31" s="102" t="s">
        <v>438</v>
      </c>
      <c r="B31" s="103">
        <v>0</v>
      </c>
      <c r="C31" s="102" t="s">
        <v>442</v>
      </c>
      <c r="D31" s="103">
        <v>0</v>
      </c>
    </row>
    <row r="32" spans="1:4" ht="15.75" customHeight="1" x14ac:dyDescent="0.25">
      <c r="A32" s="116" t="s">
        <v>437</v>
      </c>
      <c r="B32" s="117">
        <v>1</v>
      </c>
      <c r="C32" s="118" t="s">
        <v>440</v>
      </c>
      <c r="D32" s="117">
        <v>1</v>
      </c>
    </row>
    <row r="33" spans="1:5" x14ac:dyDescent="0.25">
      <c r="A33" s="99" t="s">
        <v>57</v>
      </c>
      <c r="B33" s="100"/>
      <c r="C33" s="101"/>
      <c r="D33" s="100"/>
    </row>
    <row r="34" spans="1:5" ht="17.25" customHeight="1" x14ac:dyDescent="0.25">
      <c r="A34" s="102" t="s">
        <v>271</v>
      </c>
      <c r="B34" s="103">
        <v>1</v>
      </c>
      <c r="C34" s="102" t="s">
        <v>273</v>
      </c>
      <c r="D34" s="103">
        <v>1</v>
      </c>
    </row>
    <row r="35" spans="1:5" ht="15.75" customHeight="1" x14ac:dyDescent="0.25">
      <c r="A35" s="102" t="s">
        <v>272</v>
      </c>
      <c r="B35" s="103">
        <v>1</v>
      </c>
      <c r="C35" s="102" t="s">
        <v>274</v>
      </c>
      <c r="D35" s="103">
        <v>1</v>
      </c>
    </row>
    <row r="36" spans="1:5" x14ac:dyDescent="0.25">
      <c r="A36" s="102" t="s">
        <v>50</v>
      </c>
      <c r="B36" s="103">
        <v>0</v>
      </c>
      <c r="C36" s="102" t="s">
        <v>53</v>
      </c>
      <c r="D36" s="103">
        <v>1</v>
      </c>
      <c r="E36">
        <v>0.15</v>
      </c>
    </row>
    <row r="37" spans="1:5" x14ac:dyDescent="0.25">
      <c r="A37" s="102" t="s">
        <v>51</v>
      </c>
      <c r="B37" s="103">
        <v>1</v>
      </c>
      <c r="C37" s="102" t="s">
        <v>54</v>
      </c>
      <c r="D37" s="103">
        <v>1</v>
      </c>
    </row>
    <row r="38" spans="1:5" x14ac:dyDescent="0.25">
      <c r="A38" s="102" t="s">
        <v>72</v>
      </c>
      <c r="B38" s="103">
        <v>1</v>
      </c>
      <c r="C38" s="102" t="s">
        <v>71</v>
      </c>
      <c r="D38" s="103">
        <v>1</v>
      </c>
    </row>
    <row r="39" spans="1:5" x14ac:dyDescent="0.25">
      <c r="A39" s="102" t="s">
        <v>52</v>
      </c>
      <c r="B39" s="103">
        <v>0</v>
      </c>
      <c r="C39" s="102" t="s">
        <v>267</v>
      </c>
      <c r="D39" s="103">
        <v>1</v>
      </c>
    </row>
    <row r="40" spans="1:5" x14ac:dyDescent="0.25">
      <c r="A40" s="102" t="s">
        <v>41</v>
      </c>
      <c r="B40" s="103">
        <v>0</v>
      </c>
      <c r="C40" s="102" t="s">
        <v>393</v>
      </c>
      <c r="D40" s="103">
        <v>0</v>
      </c>
    </row>
    <row r="41" spans="1:5" x14ac:dyDescent="0.25">
      <c r="A41" s="102" t="s">
        <v>388</v>
      </c>
      <c r="B41" s="103">
        <v>0</v>
      </c>
      <c r="C41" s="102" t="s">
        <v>394</v>
      </c>
      <c r="D41" s="103">
        <v>0</v>
      </c>
    </row>
    <row r="42" spans="1:5" x14ac:dyDescent="0.25">
      <c r="A42" s="102" t="s">
        <v>42</v>
      </c>
      <c r="B42" s="103">
        <v>0</v>
      </c>
      <c r="C42" s="102" t="s">
        <v>322</v>
      </c>
      <c r="D42" s="103">
        <v>0</v>
      </c>
    </row>
    <row r="43" spans="1:5" x14ac:dyDescent="0.25">
      <c r="A43" s="102" t="s">
        <v>43</v>
      </c>
      <c r="B43" s="103">
        <v>1</v>
      </c>
      <c r="C43" s="102" t="s">
        <v>321</v>
      </c>
      <c r="D43" s="103">
        <v>1</v>
      </c>
    </row>
    <row r="44" spans="1:5" x14ac:dyDescent="0.25">
      <c r="A44" s="102" t="s">
        <v>198</v>
      </c>
      <c r="B44" s="103">
        <v>0</v>
      </c>
      <c r="C44" s="102" t="s">
        <v>268</v>
      </c>
      <c r="D44" s="103">
        <v>0</v>
      </c>
    </row>
    <row r="45" spans="1:5" ht="18.75" customHeight="1" x14ac:dyDescent="0.25">
      <c r="A45" s="99" t="s">
        <v>59</v>
      </c>
      <c r="B45" s="100"/>
      <c r="C45" s="101"/>
      <c r="D45" s="100"/>
    </row>
    <row r="46" spans="1:5" ht="16.5" customHeight="1" x14ac:dyDescent="0.25">
      <c r="A46" s="102" t="s">
        <v>36</v>
      </c>
      <c r="B46" s="103">
        <v>1</v>
      </c>
      <c r="C46" s="102" t="s">
        <v>308</v>
      </c>
      <c r="D46" s="103">
        <v>2</v>
      </c>
    </row>
    <row r="47" spans="1:5" ht="16.5" customHeight="1" x14ac:dyDescent="0.25">
      <c r="A47" s="102" t="s">
        <v>427</v>
      </c>
      <c r="B47" s="103">
        <v>0</v>
      </c>
      <c r="C47" s="102" t="s">
        <v>428</v>
      </c>
      <c r="D47" s="103">
        <v>0</v>
      </c>
    </row>
    <row r="48" spans="1:5" x14ac:dyDescent="0.25">
      <c r="A48" s="102" t="s">
        <v>37</v>
      </c>
      <c r="B48" s="103">
        <v>1</v>
      </c>
      <c r="C48" s="102" t="s">
        <v>227</v>
      </c>
      <c r="D48" s="103">
        <v>1</v>
      </c>
    </row>
    <row r="49" spans="1:4" ht="18.75" customHeight="1" x14ac:dyDescent="0.25">
      <c r="A49" s="99" t="s">
        <v>210</v>
      </c>
      <c r="B49" s="100"/>
      <c r="C49" s="101"/>
      <c r="D49" s="100"/>
    </row>
    <row r="50" spans="1:4" ht="16.5" customHeight="1" x14ac:dyDescent="0.25">
      <c r="A50" s="102" t="s">
        <v>211</v>
      </c>
      <c r="B50" s="103">
        <v>0</v>
      </c>
      <c r="C50" s="102" t="s">
        <v>405</v>
      </c>
      <c r="D50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22" workbookViewId="0">
      <selection activeCell="B43" sqref="B43"/>
    </sheetView>
  </sheetViews>
  <sheetFormatPr defaultColWidth="8.85546875" defaultRowHeight="15" x14ac:dyDescent="0.25"/>
  <cols>
    <col min="1" max="1" width="30.28515625" bestFit="1" customWidth="1"/>
    <col min="3" max="3" width="89.42578125" style="24" customWidth="1"/>
  </cols>
  <sheetData>
    <row r="1" spans="1:5" x14ac:dyDescent="0.25">
      <c r="A1" s="104" t="s">
        <v>180</v>
      </c>
      <c r="B1" s="105">
        <v>0</v>
      </c>
      <c r="C1" s="106" t="s">
        <v>58</v>
      </c>
      <c r="D1" t="s">
        <v>421</v>
      </c>
    </row>
    <row r="2" spans="1:5" x14ac:dyDescent="0.25">
      <c r="A2" s="107" t="s">
        <v>154</v>
      </c>
      <c r="B2" s="107" t="s">
        <v>15</v>
      </c>
      <c r="C2" s="108" t="s">
        <v>148</v>
      </c>
    </row>
    <row r="3" spans="1:5" x14ac:dyDescent="0.25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5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5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5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5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5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5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5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5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5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5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5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5">
      <c r="A15" s="2"/>
      <c r="B15" s="2"/>
      <c r="C15" s="112"/>
    </row>
    <row r="16" spans="1:5" x14ac:dyDescent="0.25">
      <c r="A16" s="107" t="s">
        <v>155</v>
      </c>
      <c r="B16" s="107" t="s">
        <v>15</v>
      </c>
      <c r="C16" s="108" t="s">
        <v>148</v>
      </c>
    </row>
    <row r="17" spans="1:3" x14ac:dyDescent="0.25">
      <c r="A17" s="109" t="s">
        <v>185</v>
      </c>
      <c r="B17" s="110">
        <v>5</v>
      </c>
      <c r="C17" s="113" t="s">
        <v>169</v>
      </c>
    </row>
    <row r="18" spans="1:3" x14ac:dyDescent="0.25">
      <c r="A18" s="109" t="s">
        <v>156</v>
      </c>
      <c r="B18" s="110">
        <v>5</v>
      </c>
      <c r="C18" s="113" t="s">
        <v>168</v>
      </c>
    </row>
    <row r="19" spans="1:3" x14ac:dyDescent="0.25">
      <c r="A19" s="109" t="s">
        <v>157</v>
      </c>
      <c r="B19" s="110">
        <v>14</v>
      </c>
      <c r="C19" s="113" t="s">
        <v>167</v>
      </c>
    </row>
    <row r="20" spans="1:3" x14ac:dyDescent="0.25">
      <c r="A20" s="109" t="s">
        <v>158</v>
      </c>
      <c r="B20" s="110">
        <v>0.5</v>
      </c>
      <c r="C20" s="113" t="s">
        <v>170</v>
      </c>
    </row>
    <row r="21" spans="1:3" x14ac:dyDescent="0.25">
      <c r="A21" s="109" t="s">
        <v>160</v>
      </c>
      <c r="B21" s="110">
        <v>-50</v>
      </c>
      <c r="C21" s="113" t="s">
        <v>166</v>
      </c>
    </row>
    <row r="22" spans="1:3" x14ac:dyDescent="0.25">
      <c r="A22" s="109" t="s">
        <v>161</v>
      </c>
      <c r="B22" s="110">
        <v>-2</v>
      </c>
      <c r="C22" s="113" t="s">
        <v>165</v>
      </c>
    </row>
    <row r="23" spans="1:3" ht="15.75" customHeight="1" x14ac:dyDescent="0.25">
      <c r="A23" s="109" t="s">
        <v>171</v>
      </c>
      <c r="B23" s="110">
        <v>0.1</v>
      </c>
      <c r="C23" s="113" t="s">
        <v>178</v>
      </c>
    </row>
    <row r="24" spans="1:3" x14ac:dyDescent="0.25">
      <c r="A24" s="109" t="s">
        <v>162</v>
      </c>
      <c r="B24" s="110">
        <v>0</v>
      </c>
      <c r="C24" s="113" t="s">
        <v>179</v>
      </c>
    </row>
    <row r="25" spans="1:3" x14ac:dyDescent="0.25">
      <c r="A25" s="109" t="s">
        <v>159</v>
      </c>
      <c r="B25" s="110">
        <v>0.1</v>
      </c>
      <c r="C25" s="113" t="s">
        <v>396</v>
      </c>
    </row>
    <row r="26" spans="1:3" x14ac:dyDescent="0.25">
      <c r="A26" s="109" t="s">
        <v>163</v>
      </c>
      <c r="B26" s="110">
        <v>250</v>
      </c>
      <c r="C26" s="113" t="s">
        <v>187</v>
      </c>
    </row>
    <row r="27" spans="1:3" x14ac:dyDescent="0.25">
      <c r="A27" s="109" t="s">
        <v>164</v>
      </c>
      <c r="B27" s="110">
        <v>0</v>
      </c>
      <c r="C27" s="113" t="s">
        <v>174</v>
      </c>
    </row>
    <row r="28" spans="1:3" x14ac:dyDescent="0.25">
      <c r="A28" s="2"/>
      <c r="B28" s="2"/>
      <c r="C28" s="112"/>
    </row>
    <row r="29" spans="1:3" x14ac:dyDescent="0.25">
      <c r="A29" s="107" t="s">
        <v>193</v>
      </c>
      <c r="B29" s="107" t="s">
        <v>15</v>
      </c>
      <c r="C29" s="108" t="s">
        <v>148</v>
      </c>
    </row>
    <row r="30" spans="1:3" x14ac:dyDescent="0.25">
      <c r="A30" s="109" t="s">
        <v>216</v>
      </c>
      <c r="B30" s="110">
        <v>3</v>
      </c>
      <c r="C30" s="113" t="s">
        <v>197</v>
      </c>
    </row>
    <row r="31" spans="1:3" x14ac:dyDescent="0.25">
      <c r="A31" s="109" t="s">
        <v>215</v>
      </c>
      <c r="B31" s="110"/>
      <c r="C31" s="113" t="s">
        <v>217</v>
      </c>
    </row>
    <row r="32" spans="1:3" x14ac:dyDescent="0.25">
      <c r="A32" s="2"/>
      <c r="B32" s="2"/>
      <c r="C32" s="112"/>
    </row>
    <row r="33" spans="1:5" x14ac:dyDescent="0.25">
      <c r="A33" s="107" t="s">
        <v>199</v>
      </c>
      <c r="B33" s="107" t="s">
        <v>15</v>
      </c>
      <c r="C33" s="108" t="s">
        <v>148</v>
      </c>
    </row>
    <row r="34" spans="1:5" x14ac:dyDescent="0.25">
      <c r="A34" s="109" t="s">
        <v>218</v>
      </c>
      <c r="B34" s="110">
        <f>24*3</f>
        <v>72</v>
      </c>
      <c r="C34" s="113" t="s">
        <v>214</v>
      </c>
    </row>
    <row r="35" spans="1:5" x14ac:dyDescent="0.25">
      <c r="A35" s="109" t="s">
        <v>219</v>
      </c>
      <c r="B35" s="110">
        <v>0</v>
      </c>
      <c r="C35" s="113" t="s">
        <v>205</v>
      </c>
    </row>
    <row r="36" spans="1:5" x14ac:dyDescent="0.25">
      <c r="A36" s="109" t="s">
        <v>220</v>
      </c>
      <c r="B36" s="110">
        <v>11</v>
      </c>
      <c r="C36" s="113" t="s">
        <v>206</v>
      </c>
    </row>
    <row r="37" spans="1:5" x14ac:dyDescent="0.25">
      <c r="A37" s="109" t="s">
        <v>221</v>
      </c>
      <c r="B37" s="110">
        <v>4</v>
      </c>
      <c r="C37" s="113" t="s">
        <v>207</v>
      </c>
    </row>
    <row r="38" spans="1:5" x14ac:dyDescent="0.25">
      <c r="A38" s="109" t="s">
        <v>200</v>
      </c>
      <c r="B38" s="110">
        <v>0</v>
      </c>
      <c r="C38" s="113" t="s">
        <v>208</v>
      </c>
    </row>
    <row r="39" spans="1:5" x14ac:dyDescent="0.25">
      <c r="A39" s="109" t="s">
        <v>222</v>
      </c>
      <c r="B39" s="110">
        <v>0.6</v>
      </c>
      <c r="C39" s="113" t="s">
        <v>223</v>
      </c>
    </row>
    <row r="40" spans="1:5" x14ac:dyDescent="0.25">
      <c r="A40" s="109" t="s">
        <v>269</v>
      </c>
      <c r="B40" s="110">
        <v>0.1</v>
      </c>
      <c r="C40" s="113" t="s">
        <v>270</v>
      </c>
    </row>
    <row r="41" spans="1:5" x14ac:dyDescent="0.25">
      <c r="A41" s="2"/>
      <c r="B41" s="2"/>
      <c r="C41" s="112"/>
    </row>
    <row r="42" spans="1:5" x14ac:dyDescent="0.25">
      <c r="A42" s="107" t="s">
        <v>366</v>
      </c>
      <c r="B42" s="107" t="s">
        <v>15</v>
      </c>
      <c r="C42" s="108" t="s">
        <v>386</v>
      </c>
    </row>
    <row r="43" spans="1:5" x14ac:dyDescent="0.25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5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5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5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5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5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5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5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5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5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5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5">
      <c r="A54" s="109" t="s">
        <v>378</v>
      </c>
      <c r="B54" s="110">
        <v>11</v>
      </c>
      <c r="C54" s="113" t="s">
        <v>380</v>
      </c>
    </row>
    <row r="55" spans="1:5" x14ac:dyDescent="0.25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Bruce Rolstad Denby</cp:lastModifiedBy>
  <cp:lastPrinted>2016-02-25T13:13:37Z</cp:lastPrinted>
  <dcterms:created xsi:type="dcterms:W3CDTF">2011-02-03T09:54:29Z</dcterms:created>
  <dcterms:modified xsi:type="dcterms:W3CDTF">2025-06-23T13:38:33Z</dcterms:modified>
</cp:coreProperties>
</file>