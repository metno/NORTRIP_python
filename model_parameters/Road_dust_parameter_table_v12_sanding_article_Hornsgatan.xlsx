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\NORTRIP-python\model_parameters\"/>
    </mc:Choice>
  </mc:AlternateContent>
  <xr:revisionPtr revIDLastSave="0" documentId="8_{D257943E-4C18-4895-A3D6-B985D80750EB}" xr6:coauthVersionLast="47" xr6:coauthVersionMax="47" xr10:uidLastSave="{00000000-0000-0000-0000-000000000000}"/>
  <bookViews>
    <workbookView xWindow="6495" yWindow="1830" windowWidth="22650" windowHeight="13995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1" l="1"/>
  <c r="C72" i="1"/>
  <c r="B72" i="1"/>
  <c r="B34" i="3" l="1"/>
  <c r="B167" i="1"/>
  <c r="C7" i="1"/>
  <c r="D7" i="1"/>
  <c r="B119" i="1" l="1"/>
  <c r="C101" i="1" l="1"/>
  <c r="D101" i="1" s="1"/>
  <c r="B73" i="1" l="1"/>
  <c r="C119" i="1"/>
  <c r="E119" i="1" s="1"/>
  <c r="E117" i="1"/>
  <c r="D117" i="1"/>
  <c r="C117" i="1"/>
  <c r="D119" i="1" l="1"/>
  <c r="D73" i="1" l="1"/>
  <c r="C73" i="1"/>
  <c r="B138" i="1"/>
  <c r="D138" i="1" s="1"/>
  <c r="C138" i="1" l="1"/>
  <c r="D66" i="1" l="1"/>
  <c r="C66" i="1"/>
  <c r="B66" i="1"/>
  <c r="E101" i="1"/>
  <c r="D48" i="1" l="1"/>
  <c r="C48" i="1"/>
  <c r="B48" i="1"/>
  <c r="B47" i="1" s="1"/>
  <c r="D141" i="1" l="1"/>
  <c r="C141" i="1"/>
  <c r="C108" i="1" l="1"/>
  <c r="C106" i="1"/>
  <c r="C105" i="1"/>
  <c r="E103" i="1"/>
  <c r="E102" i="1"/>
  <c r="D98" i="1"/>
  <c r="E98" i="1" s="1"/>
  <c r="H138" i="1"/>
  <c r="J138" i="1" s="1"/>
  <c r="E105" i="1" l="1"/>
  <c r="E106" i="1"/>
  <c r="D105" i="1"/>
  <c r="D106" i="1"/>
  <c r="I138" i="1"/>
  <c r="H167" i="1"/>
  <c r="J36" i="1" l="1"/>
  <c r="J33" i="1"/>
  <c r="B163" i="1" l="1"/>
  <c r="B7" i="1" l="1"/>
  <c r="E120" i="1" l="1"/>
  <c r="D120" i="1"/>
  <c r="C120" i="1"/>
  <c r="B173" i="1" l="1"/>
  <c r="B174" i="1" l="1"/>
  <c r="M5" i="1" l="1"/>
  <c r="H7" i="1" s="1"/>
  <c r="K7" i="1" s="1"/>
  <c r="L5" i="1"/>
  <c r="C6" i="1"/>
  <c r="C137" i="1" l="1"/>
  <c r="D137" i="1"/>
  <c r="B137" i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</calcChain>
</file>

<file path=xl/sharedStrings.xml><?xml version="1.0" encoding="utf-8"?>
<sst xmlns="http://schemas.openxmlformats.org/spreadsheetml/2006/main" count="561" uniqueCount="443">
  <si>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</si>
  <si>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</si>
  <si>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</si>
  <si>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</si>
  <si>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</si>
  <si>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</si>
  <si>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</si>
  <si>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</si>
  <si>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</si>
  <si>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</si>
  <si>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</si>
  <si>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</si>
  <si>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</si>
  <si>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</si>
  <si>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</si>
  <si>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</si>
  <si>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</si>
  <si>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</si>
  <si>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</si>
  <si>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</si>
  <si>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</si>
  <si>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</si>
  <si>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</si>
  <si>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</si>
  <si>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</si>
  <si>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</si>
  <si>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</si>
  <si>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</si>
  <si>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</si>
  <si>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</si>
  <si>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</si>
  <si>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</si>
  <si>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</si>
  <si>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</si>
  <si>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</si>
  <si>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</si>
  <si>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</si>
  <si>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</si>
  <si>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</si>
  <si>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</si>
  <si>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</si>
  <si>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</si>
  <si>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</si>
  <si>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</si>
  <si>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</si>
  <si>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</si>
  <si>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</si>
  <si>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</si>
  <si>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</si>
  <si>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</si>
  <si>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</si>
  <si>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</si>
  <si>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</si>
  <si>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</si>
  <si>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</si>
  <si>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</si>
  <si>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</si>
  <si>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</si>
  <si>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</si>
  <si>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</si>
  <si>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</si>
  <si>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</si>
  <si>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</si>
  <si>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</si>
  <si>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</si>
  <si>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</si>
  <si>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</si>
  <si>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</si>
  <si>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</si>
  <si>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</si>
  <si>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</si>
  <si>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</si>
  <si>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</si>
  <si>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</si>
  <si>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</si>
  <si>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</si>
  <si>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</si>
  <si>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</si>
  <si>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</si>
  <si>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</si>
  <si>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</si>
  <si>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</si>
  <si>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</si>
  <si>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</si>
  <si>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</si>
  <si>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</si>
  <si>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</si>
  <si>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</si>
  <si>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</si>
  <si>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</si>
  <si>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</si>
  <si>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</si>
  <si>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</si>
  <si>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</si>
  <si>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</si>
  <si>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</si>
  <si>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</si>
  <si>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</si>
  <si>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</si>
  <si>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</si>
  <si>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</si>
  <si>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</si>
  <si>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</si>
  <si>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</si>
  <si>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</si>
  <si>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</si>
  <si>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</si>
  <si>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</si>
  <si>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</si>
  <si>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</si>
  <si>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</si>
  <si>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</si>
  <si>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</si>
  <si>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</si>
  <si>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</si>
  <si>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</si>
  <si>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</si>
  <si>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</si>
  <si>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</si>
  <si>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</si>
  <si>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</si>
  <si>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</si>
  <si>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</si>
  <si>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</si>
  <si>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</si>
  <si>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</si>
  <si>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</si>
  <si>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</si>
  <si>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</si>
  <si>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</si>
  <si>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</si>
  <si>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</si>
  <si>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</si>
  <si>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</si>
  <si>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</si>
  <si>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</si>
  <si>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</si>
  <si>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</si>
  <si>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</si>
  <si>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</si>
  <si>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</si>
  <si>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</si>
  <si>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</si>
  <si>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</si>
  <si>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</si>
  <si>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</si>
  <si>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</si>
  <si>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</si>
  <si>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</si>
  <si>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</si>
  <si>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</si>
  <si>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</si>
  <si>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</si>
  <si>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</si>
  <si>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</si>
  <si>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</si>
  <si>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</si>
  <si>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</si>
  <si>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</si>
  <si>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</si>
  <si>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</si>
  <si>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</si>
  <si>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</si>
  <si>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</si>
  <si>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</si>
  <si>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</si>
  <si>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</si>
  <si>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</si>
  <si>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</si>
  <si>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</si>
  <si>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</si>
  <si>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</si>
  <si>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</si>
  <si>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</si>
  <si>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</si>
  <si>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</si>
  <si>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</si>
  <si>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</si>
  <si>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</si>
  <si>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</si>
  <si>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</si>
  <si>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</si>
  <si>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</si>
  <si>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</si>
  <si>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</si>
  <si>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</si>
  <si>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</si>
  <si>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</si>
  <si>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</si>
  <si>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</si>
  <si>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</si>
  <si>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</si>
  <si>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</si>
  <si>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</si>
  <si>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</si>
  <si>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</si>
  <si>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</si>
  <si>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</si>
  <si>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</si>
  <si>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</si>
  <si>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</si>
  <si>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</si>
  <si>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</si>
  <si>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</si>
  <si>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</si>
  <si>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</si>
  <si>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</si>
  <si>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</si>
  <si>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</si>
  <si>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</si>
  <si>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</si>
  <si>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</si>
  <si>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</si>
  <si>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</si>
  <si>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</si>
  <si>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</si>
  <si>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</si>
  <si>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</si>
  <si>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</si>
  <si>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</si>
  <si>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</si>
  <si>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</si>
  <si>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</si>
  <si>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</si>
  <si>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</si>
  <si>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</si>
  <si>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</si>
  <si>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</si>
  <si>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</si>
  <si>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</si>
  <si>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</si>
  <si>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</si>
  <si>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</si>
  <si>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</si>
  <si>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</si>
  <si>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</si>
  <si>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</si>
  <si>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</si>
  <si>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</si>
  <si>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</si>
  <si>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</si>
  <si>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</si>
  <si>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</si>
  <si>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</si>
  <si>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</si>
  <si>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</si>
  <si>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</si>
  <si>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</si>
  <si>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</si>
  <si>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</si>
  <si>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</si>
  <si>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</si>
  <si>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</si>
  <si>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</si>
  <si>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</si>
  <si>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</si>
  <si>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</si>
  <si>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</si>
  <si>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</si>
  <si>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</si>
  <si>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</si>
  <si>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</si>
  <si>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</si>
  <si>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</si>
  <si>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</si>
  <si>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</si>
  <si>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</si>
  <si>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</si>
  <si>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</si>
  <si>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</si>
  <si>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</si>
  <si>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</si>
  <si>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</si>
  <si>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</si>
  <si>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</si>
  <si>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</si>
  <si>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</si>
  <si>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</si>
  <si>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</si>
  <si>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</si>
  <si>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</si>
  <si>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</si>
  <si>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</si>
  <si>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</si>
  <si>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</si>
  <si>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</si>
  <si>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</si>
  <si>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</si>
  <si>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</si>
  <si>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</si>
  <si>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</si>
  <si>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</si>
  <si>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</si>
  <si>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</si>
  <si>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</si>
  <si>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</si>
  <si>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</si>
  <si>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</si>
  <si>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</si>
  <si>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</si>
  <si>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</si>
  <si>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</si>
  <si>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</si>
  <si>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</si>
  <si>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</si>
  <si>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</si>
  <si>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</si>
  <si>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</si>
  <si>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</si>
  <si>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</si>
  <si>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</si>
  <si>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</si>
  <si>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</si>
  <si>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</si>
  <si>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</si>
  <si>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</si>
  <si>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</si>
  <si>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</si>
  <si>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</si>
  <si>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</si>
  <si>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</si>
  <si>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</si>
  <si>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</si>
  <si>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</si>
  <si>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</si>
  <si>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</si>
  <si>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</si>
  <si>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</si>
  <si>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</si>
  <si>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</si>
  <si>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</si>
  <si>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</si>
  <si>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</si>
  <si>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</si>
  <si>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</si>
  <si>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</si>
  <si>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</si>
  <si>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</si>
  <si>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</si>
  <si>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</si>
  <si>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</si>
  <si>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</si>
  <si>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</si>
  <si>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</si>
  <si>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</si>
  <si>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</si>
  <si>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</si>
  <si>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</si>
  <si>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</si>
  <si>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</si>
  <si>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</si>
  <si>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</si>
  <si>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</si>
  <si>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</si>
  <si>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</si>
  <si>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</si>
  <si>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</si>
  <si>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</si>
  <si>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</si>
  <si>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</si>
  <si>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</si>
  <si>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</si>
  <si>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</si>
  <si>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</si>
  <si>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</si>
  <si>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</si>
  <si>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</si>
  <si>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</si>
  <si>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</si>
  <si>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</si>
  <si>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</si>
  <si>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</si>
  <si>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</si>
  <si>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</si>
  <si>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</si>
  <si>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</si>
  <si>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</si>
  <si>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</si>
  <si>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</si>
  <si>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</si>
  <si>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</si>
  <si>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</si>
  <si>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</si>
  <si>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</si>
  <si>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</si>
  <si>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</si>
  <si>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</si>
  <si>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</si>
  <si>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</si>
  <si>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</si>
  <si>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</si>
  <si>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</si>
  <si>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</si>
  <si>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</si>
  <si>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</si>
  <si>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</si>
  <si>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</si>
  <si>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</si>
  <si>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</si>
  <si>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</si>
  <si>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</si>
  <si>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</si>
  <si>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</si>
  <si>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</si>
  <si>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</si>
  <si>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</si>
  <si>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</si>
  <si>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</si>
  <si>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</si>
  <si>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</si>
  <si>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</si>
  <si>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</si>
  <si>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</si>
  <si>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</si>
  <si>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</si>
  <si>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</si>
  <si>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</si>
  <si>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</si>
  <si>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</si>
  <si>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</si>
  <si>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</si>
  <si>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</si>
  <si>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</si>
  <si>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</si>
  <si>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</si>
  <si>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</si>
  <si>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</si>
  <si>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</si>
  <si>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</si>
  <si>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</si>
  <si>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</si>
  <si>
    <t xml:space="preserve">use_stability_flag              </t>
  </si>
  <si>
    <t>Use atmospheric stability in sensible heat fux calculation. Default is 1 (on)</t>
  </si>
  <si>
    <t xml:space="preserve">use_energy_correction_flag      </t>
  </si>
  <si>
    <t>Add correction term to the energy balance, based on the difference between modeled and observed surface temperature.</t>
  </si>
  <si>
    <t>forecast_hour</t>
  </si>
  <si>
    <t>FORECAST</t>
  </si>
  <si>
    <t xml:space="preserve">forecast_type_flag      </t>
  </si>
  <si>
    <t>use_observed_temperature_init_flag</t>
  </si>
  <si>
    <t>Set length of forecast in hours (0 = no forecast)</t>
  </si>
  <si>
    <t>1 is normal forecast, 2 is persistence, 3 is bias correction from last obs, 4 is interpolated trend (last two measurements) bias correction</t>
  </si>
  <si>
    <t>Use the underlaying subsurface in the energy balance calculations. 1 using running mean air temp, 2 relaxed slab temp,3 relaxed air temp</t>
  </si>
  <si>
    <t>Explicitly set the initial temperature for the forecast to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</si>
</sst>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  <xf numFmtId="0" fontId="31" fillId="0" borderId="9" xfId="0" applyFont="1" applyBorder="1"/>
    <xf numFmtId="0" fontId="31" fillId="0" borderId="9" xfId="0" applyFont="1" applyBorder="1" applyAlignment="1">
      <alignment horizontal="center"/>
    </xf>
    <xf numFmtId="0" fontId="31" fillId="0" borderId="27" xfId="0" applyFont="1" applyBorder="1" applyAlignment="1">
      <alignment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abSelected="1" topLeftCell="B63" zoomScaleNormal="100" workbookViewId="0">
      <selection activeCell="D73" sqref="D73"/>
    </sheetView>
  </sheetViews>
  <sheetFormatPr defaultColWidth="8.85546875"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42578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>
        <v>6</v>
      </c>
      <c r="G1" s="76" t="s">
        <v>281</v>
      </c>
    </row>
    <row r="2" spans="1:17" x14ac:dyDescent="0.25">
      <c r="E2" s="69"/>
      <c r="F2" s="69"/>
      <c r="G2" s="77" t="s">
        <v>430</v>
      </c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6</v>
      </c>
      <c r="I5" s="52">
        <v>16</v>
      </c>
      <c r="J5" s="52">
        <v>75</v>
      </c>
      <c r="K5" s="56">
        <v>70</v>
      </c>
      <c r="L5" s="57">
        <f>((2.493 + H5*0.144 - I5* 0.069 - J5*0.017))*K5/70</f>
        <v>0.97799999999999954</v>
      </c>
      <c r="M5" s="57">
        <f>((2.493 + H5*0.144 - I5* 0.069 - J5*0.017)*2.88)*K5/70</f>
        <v>2.8166399999999987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2.8166399999999987</v>
      </c>
      <c r="I7" s="49">
        <f>C7*K7</f>
        <v>7.0415999999999965E-2</v>
      </c>
      <c r="J7" s="49">
        <f>D7*K7</f>
        <v>7.0415999999999965E-2</v>
      </c>
      <c r="K7" s="50">
        <f>H7/B7</f>
        <v>0.97799999999999954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408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409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410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411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412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413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414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>
        <v>5</v>
      </c>
      <c r="H24" s="9">
        <v>8</v>
      </c>
      <c r="I24" s="10" t="s">
        <v>415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416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417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418</v>
      </c>
      <c r="J27" s="10">
        <v>3.11</v>
      </c>
    </row>
    <row r="28" spans="1:11" ht="15.75" thickBot="1" x14ac:dyDescent="0.3">
      <c r="A28" s="9">
        <v>1</v>
      </c>
      <c r="B28" s="10" t="s">
        <v>411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419</v>
      </c>
      <c r="J28" s="10">
        <v>3.83</v>
      </c>
    </row>
    <row r="29" spans="1:11" ht="15.75" thickBot="1" x14ac:dyDescent="0.3">
      <c r="A29" s="9">
        <v>2</v>
      </c>
      <c r="B29" s="10" t="s">
        <v>410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409</v>
      </c>
      <c r="C30" s="10">
        <v>2.3199999999999998</v>
      </c>
      <c r="D30" s="6"/>
      <c r="E30" s="6"/>
      <c r="F30" s="6"/>
      <c r="G30" s="78"/>
      <c r="H30" s="30" t="s">
        <v>420</v>
      </c>
      <c r="I30" s="20"/>
    </row>
    <row r="31" spans="1:11" ht="15.75" thickBot="1" x14ac:dyDescent="0.3">
      <c r="A31" s="9">
        <v>4</v>
      </c>
      <c r="B31" s="10" t="s">
        <v>408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422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  <c r="J46" s="6">
        <v>40</v>
      </c>
    </row>
    <row r="47" spans="1:10" ht="15.75" thickBot="1" x14ac:dyDescent="0.3">
      <c r="A47" s="9" t="s">
        <v>1</v>
      </c>
      <c r="B47" s="15">
        <f>$H$46*B48</f>
        <v>1.2E-4</v>
      </c>
      <c r="C47" s="15">
        <f t="shared" ref="C47:D47" si="0">$H$46*C48</f>
        <v>1.2E-4</v>
      </c>
      <c r="D47" s="15">
        <f t="shared" si="0"/>
        <v>1.2E-4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0.0000015*H48</f>
        <v>3.0000000000000001E-6</v>
      </c>
      <c r="C48" s="15">
        <f>0.0000015*H48</f>
        <v>3.0000000000000001E-6</v>
      </c>
      <c r="D48" s="15">
        <f>0.0000015*H48</f>
        <v>3.0000000000000001E-6</v>
      </c>
      <c r="E48" s="73"/>
      <c r="F48" s="27"/>
      <c r="G48" s="83"/>
      <c r="H48" s="53">
        <v>2</v>
      </c>
      <c r="I48" s="6">
        <v>5</v>
      </c>
      <c r="J48" s="6">
        <v>2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429</v>
      </c>
      <c r="K65" s="20"/>
      <c r="L65" s="20"/>
    </row>
    <row r="66" spans="1:15" ht="15.75" thickBot="1" x14ac:dyDescent="0.3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 t="s">
        <v>429</v>
      </c>
    </row>
    <row r="72" spans="1:15" ht="15.75" thickBot="1" x14ac:dyDescent="0.3">
      <c r="A72" s="9" t="s">
        <v>1</v>
      </c>
      <c r="B72" s="15">
        <f>10*B73</f>
        <v>1.2E-5</v>
      </c>
      <c r="C72" s="15">
        <f>10*C73</f>
        <v>1.2E-5</v>
      </c>
      <c r="D72" s="15">
        <f>10*D73</f>
        <v>1.2E-5</v>
      </c>
      <c r="E72" s="6"/>
      <c r="F72" s="6"/>
      <c r="G72" s="78">
        <v>1E-3</v>
      </c>
    </row>
    <row r="73" spans="1:15" ht="15.75" thickBot="1" x14ac:dyDescent="0.3">
      <c r="A73" s="28" t="s">
        <v>2</v>
      </c>
      <c r="B73" s="15">
        <f>0.0012*G72</f>
        <v>1.1999999999999999E-6</v>
      </c>
      <c r="C73" s="15">
        <f>B73</f>
        <v>1.1999999999999999E-6</v>
      </c>
      <c r="D73" s="15">
        <f>B73</f>
        <v>1.1999999999999999E-6</v>
      </c>
      <c r="E73" s="6"/>
      <c r="F73" s="6"/>
      <c r="G73" s="15">
        <v>9.9999999999999995E-7</v>
      </c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0.75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0.75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0.75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 t="s">
        <v>429</v>
      </c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f>0.05*G101</f>
        <v>2.5000000000000001E-2</v>
      </c>
      <c r="D101" s="114">
        <f>C101*0.16</f>
        <v>4.0000000000000001E-3</v>
      </c>
      <c r="E101" s="10">
        <f>C101*0.04</f>
        <v>1E-3</v>
      </c>
      <c r="F101" s="20"/>
      <c r="G101" s="81">
        <v>0.5</v>
      </c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406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0.5</v>
      </c>
      <c r="C117" s="10">
        <f>0.01</f>
        <v>0.01</v>
      </c>
      <c r="D117" s="10">
        <f>C117</f>
        <v>0.01</v>
      </c>
      <c r="E117" s="10">
        <f>C117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0.5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0.05</f>
        <v>0.05</v>
      </c>
      <c r="C119" s="10">
        <f>B119/10</f>
        <v>5.0000000000000001E-3</v>
      </c>
      <c r="D119" s="10">
        <f>C119</f>
        <v>5.0000000000000001E-3</v>
      </c>
      <c r="E119" s="10">
        <f>C119</f>
        <v>5.0000000000000001E-3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1.2011999999999998E-4</v>
      </c>
      <c r="C137" s="21">
        <f>6*C138</f>
        <v>1.2011999999999998E-4</v>
      </c>
      <c r="D137" s="21">
        <f>6*D138</f>
        <v>1.2011999999999998E-5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0.00013*0.154</f>
        <v>2.0019999999999998E-5</v>
      </c>
      <c r="C138" s="21">
        <f>B138</f>
        <v>2.0019999999999998E-5</v>
      </c>
      <c r="D138" s="21">
        <f>B138/10</f>
        <v>2.0019999999999996E-6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0.6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5.7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407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0.03</v>
      </c>
      <c r="C166" s="10">
        <v>0.03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0.01</f>
        <v>0.01</v>
      </c>
      <c r="C167" s="22">
        <v>0.01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425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426</v>
      </c>
      <c r="B169" s="20">
        <v>0.4</v>
      </c>
      <c r="C169" s="20">
        <v>0.4</v>
      </c>
      <c r="G169" s="84"/>
      <c r="H169" s="20">
        <v>0.4</v>
      </c>
      <c r="I169" s="20">
        <v>0.25</v>
      </c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zoomScale="115" zoomScaleNormal="115" workbookViewId="0">
      <selection activeCell="C9" sqref="C9"/>
    </sheetView>
  </sheetViews>
  <sheetFormatPr defaultColWidth="8.85546875" defaultRowHeight="15" x14ac:dyDescent="0.25"/>
  <cols>
    <col min="1" max="1" width="26.7109375" customWidth="1"/>
    <col min="2" max="2" width="6.42578125" style="1" customWidth="1"/>
    <col min="3" max="3" width="102.57031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0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1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423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424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441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102" t="s">
        <v>431</v>
      </c>
      <c r="B27" s="103">
        <v>1</v>
      </c>
      <c r="C27" s="102" t="s">
        <v>432</v>
      </c>
      <c r="D27" s="103">
        <v>1</v>
      </c>
    </row>
    <row r="28" spans="1:4" x14ac:dyDescent="0.25">
      <c r="A28" s="99" t="s">
        <v>436</v>
      </c>
      <c r="B28" s="100"/>
      <c r="C28" s="101"/>
      <c r="D28" s="100"/>
    </row>
    <row r="29" spans="1:4" x14ac:dyDescent="0.25">
      <c r="A29" s="102" t="s">
        <v>435</v>
      </c>
      <c r="B29" s="103">
        <v>0</v>
      </c>
      <c r="C29" s="102" t="s">
        <v>439</v>
      </c>
      <c r="D29" s="103">
        <v>0</v>
      </c>
    </row>
    <row r="30" spans="1:4" x14ac:dyDescent="0.25">
      <c r="A30" s="116" t="s">
        <v>433</v>
      </c>
      <c r="B30" s="117">
        <v>1</v>
      </c>
      <c r="C30" s="116" t="s">
        <v>434</v>
      </c>
      <c r="D30" s="117">
        <v>0</v>
      </c>
    </row>
    <row r="31" spans="1:4" ht="14.25" customHeight="1" x14ac:dyDescent="0.25">
      <c r="A31" s="102" t="s">
        <v>438</v>
      </c>
      <c r="B31" s="103">
        <v>0</v>
      </c>
      <c r="C31" s="102" t="s">
        <v>442</v>
      </c>
      <c r="D31" s="103">
        <v>0</v>
      </c>
    </row>
    <row r="32" spans="1:4" ht="15.75" customHeight="1" x14ac:dyDescent="0.25">
      <c r="A32" s="116" t="s">
        <v>437</v>
      </c>
      <c r="B32" s="117">
        <v>1</v>
      </c>
      <c r="C32" s="118" t="s">
        <v>440</v>
      </c>
      <c r="D32" s="117">
        <v>1</v>
      </c>
    </row>
    <row r="33" spans="1:5" x14ac:dyDescent="0.25">
      <c r="A33" s="99" t="s">
        <v>57</v>
      </c>
      <c r="B33" s="100"/>
      <c r="C33" s="101"/>
      <c r="D33" s="100"/>
    </row>
    <row r="34" spans="1:5" ht="17.25" customHeight="1" x14ac:dyDescent="0.25">
      <c r="A34" s="102" t="s">
        <v>271</v>
      </c>
      <c r="B34" s="103">
        <v>1</v>
      </c>
      <c r="C34" s="102" t="s">
        <v>273</v>
      </c>
      <c r="D34" s="103">
        <v>1</v>
      </c>
    </row>
    <row r="35" spans="1:5" ht="15.75" customHeight="1" x14ac:dyDescent="0.25">
      <c r="A35" s="102" t="s">
        <v>272</v>
      </c>
      <c r="B35" s="103">
        <v>0</v>
      </c>
      <c r="C35" s="102" t="s">
        <v>274</v>
      </c>
      <c r="D35" s="103">
        <v>1</v>
      </c>
    </row>
    <row r="36" spans="1:5" x14ac:dyDescent="0.25">
      <c r="A36" s="102" t="s">
        <v>50</v>
      </c>
      <c r="B36" s="103">
        <v>1</v>
      </c>
      <c r="C36" s="102" t="s">
        <v>53</v>
      </c>
      <c r="D36" s="103">
        <v>1</v>
      </c>
      <c r="E36">
        <v>0.15</v>
      </c>
    </row>
    <row r="37" spans="1:5" x14ac:dyDescent="0.25">
      <c r="A37" s="102" t="s">
        <v>51</v>
      </c>
      <c r="B37" s="103">
        <v>1</v>
      </c>
      <c r="C37" s="102" t="s">
        <v>54</v>
      </c>
      <c r="D37" s="103">
        <v>1</v>
      </c>
    </row>
    <row r="38" spans="1:5" x14ac:dyDescent="0.25">
      <c r="A38" s="102" t="s">
        <v>72</v>
      </c>
      <c r="B38" s="103">
        <v>1</v>
      </c>
      <c r="C38" s="102" t="s">
        <v>71</v>
      </c>
      <c r="D38" s="103">
        <v>1</v>
      </c>
    </row>
    <row r="39" spans="1:5" x14ac:dyDescent="0.25">
      <c r="A39" s="102" t="s">
        <v>52</v>
      </c>
      <c r="B39" s="103">
        <v>0</v>
      </c>
      <c r="C39" s="102" t="s">
        <v>267</v>
      </c>
      <c r="D39" s="103">
        <v>1</v>
      </c>
    </row>
    <row r="40" spans="1:5" x14ac:dyDescent="0.25">
      <c r="A40" s="102" t="s">
        <v>41</v>
      </c>
      <c r="B40" s="103">
        <v>1</v>
      </c>
      <c r="C40" s="102" t="s">
        <v>393</v>
      </c>
      <c r="D40" s="103">
        <v>0</v>
      </c>
    </row>
    <row r="41" spans="1:5" x14ac:dyDescent="0.25">
      <c r="A41" s="102" t="s">
        <v>388</v>
      </c>
      <c r="B41" s="103">
        <v>0</v>
      </c>
      <c r="C41" s="102" t="s">
        <v>394</v>
      </c>
      <c r="D41" s="103">
        <v>0</v>
      </c>
    </row>
    <row r="42" spans="1:5" x14ac:dyDescent="0.25">
      <c r="A42" s="102" t="s">
        <v>42</v>
      </c>
      <c r="B42" s="103">
        <v>1</v>
      </c>
      <c r="C42" s="102" t="s">
        <v>322</v>
      </c>
      <c r="D42" s="103">
        <v>0</v>
      </c>
    </row>
    <row r="43" spans="1:5" x14ac:dyDescent="0.25">
      <c r="A43" s="102" t="s">
        <v>43</v>
      </c>
      <c r="B43" s="103">
        <v>1</v>
      </c>
      <c r="C43" s="102" t="s">
        <v>321</v>
      </c>
      <c r="D43" s="103">
        <v>1</v>
      </c>
    </row>
    <row r="44" spans="1:5" x14ac:dyDescent="0.25">
      <c r="A44" s="102" t="s">
        <v>198</v>
      </c>
      <c r="B44" s="103">
        <v>0</v>
      </c>
      <c r="C44" s="102" t="s">
        <v>268</v>
      </c>
      <c r="D44" s="103">
        <v>0</v>
      </c>
    </row>
    <row r="45" spans="1:5" ht="18.75" customHeight="1" x14ac:dyDescent="0.25">
      <c r="A45" s="99" t="s">
        <v>59</v>
      </c>
      <c r="B45" s="100"/>
      <c r="C45" s="101"/>
      <c r="D45" s="100"/>
    </row>
    <row r="46" spans="1:5" ht="16.5" customHeight="1" x14ac:dyDescent="0.25">
      <c r="A46" s="102" t="s">
        <v>36</v>
      </c>
      <c r="B46" s="103">
        <v>2</v>
      </c>
      <c r="C46" s="102" t="s">
        <v>308</v>
      </c>
      <c r="D46" s="103">
        <v>2</v>
      </c>
    </row>
    <row r="47" spans="1:5" ht="16.5" customHeight="1" x14ac:dyDescent="0.25">
      <c r="A47" s="102" t="s">
        <v>427</v>
      </c>
      <c r="B47" s="103">
        <v>0</v>
      </c>
      <c r="C47" s="102" t="s">
        <v>428</v>
      </c>
      <c r="D47" s="103">
        <v>0</v>
      </c>
    </row>
    <row r="48" spans="1:5" x14ac:dyDescent="0.25">
      <c r="A48" s="102" t="s">
        <v>37</v>
      </c>
      <c r="B48" s="103">
        <v>3</v>
      </c>
      <c r="C48" s="102" t="s">
        <v>227</v>
      </c>
      <c r="D48" s="103">
        <v>1</v>
      </c>
    </row>
    <row r="49" spans="1:4" ht="18.75" customHeight="1" x14ac:dyDescent="0.25">
      <c r="A49" s="99" t="s">
        <v>210</v>
      </c>
      <c r="B49" s="100"/>
      <c r="C49" s="101"/>
      <c r="D49" s="100"/>
    </row>
    <row r="50" spans="1:4" ht="16.5" customHeight="1" x14ac:dyDescent="0.25">
      <c r="A50" s="102" t="s">
        <v>211</v>
      </c>
      <c r="B50" s="103">
        <v>0</v>
      </c>
      <c r="C50" s="102" t="s">
        <v>405</v>
      </c>
      <c r="D50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workbookViewId="0">
      <selection activeCell="B1" sqref="B1:B1048576"/>
    </sheetView>
  </sheetViews>
  <sheetFormatPr defaultColWidth="8.85546875" defaultRowHeight="15" x14ac:dyDescent="0.25"/>
  <cols>
    <col min="1" max="1" width="30.28515625" bestFit="1" customWidth="1"/>
    <col min="2" max="2" width="9.140625"/>
    <col min="3" max="3" width="89.42578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421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3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2025-12-11T10:50:33Z</dcterms:modified>
</cp:coreProperties>
</file>