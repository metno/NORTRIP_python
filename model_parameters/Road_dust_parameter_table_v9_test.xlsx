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NORTRIP\NORTRIP\NORTRIP_model_public_v3_4\model_parameters\"/>
    </mc:Choice>
  </mc:AlternateContent>
  <xr:revisionPtr revIDLastSave="0" documentId="13_ncr:1_{A9EF03DB-5DA4-47BF-8BB4-FB87E9113A5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B119" i="1"/>
  <c r="C119" i="1" s="1"/>
  <c r="E103" i="1" l="1"/>
  <c r="C108" i="1"/>
  <c r="D65" i="1"/>
  <c r="C65" i="1"/>
  <c r="B65" i="1"/>
  <c r="C138" i="1" l="1"/>
  <c r="B138" i="1"/>
  <c r="B48" i="1"/>
  <c r="B47" i="1" s="1"/>
  <c r="I138" i="1"/>
  <c r="H138" i="1"/>
  <c r="J138" i="1" s="1"/>
  <c r="B167" i="1"/>
  <c r="H167" i="1" l="1"/>
  <c r="E101" i="1" l="1"/>
  <c r="D101" i="1"/>
  <c r="J36" i="1" l="1"/>
  <c r="J33" i="1"/>
  <c r="B163" i="1" l="1"/>
  <c r="B7" i="1" l="1"/>
  <c r="E117" i="1" l="1"/>
  <c r="D117" i="1"/>
  <c r="C117" i="1" s="1"/>
  <c r="D138" i="1" l="1"/>
  <c r="E120" i="1" l="1"/>
  <c r="D120" i="1"/>
  <c r="C120" i="1"/>
  <c r="B171" i="1" l="1"/>
  <c r="B172" i="1" l="1"/>
  <c r="D119" i="1" l="1"/>
  <c r="M5" i="1"/>
  <c r="H7" i="1" s="1"/>
  <c r="K7" i="1" s="1"/>
  <c r="L5" i="1"/>
  <c r="C6" i="1"/>
  <c r="C137" i="1" l="1"/>
  <c r="D137" i="1"/>
  <c r="B137" i="1"/>
  <c r="B34" i="3" l="1"/>
  <c r="E119" i="1" l="1"/>
  <c r="B175" i="1" l="1"/>
  <c r="B174" i="1"/>
  <c r="B173" i="1"/>
  <c r="D48" i="1" l="1"/>
  <c r="D47" i="1" s="1"/>
  <c r="C107" i="1"/>
  <c r="C106" i="1"/>
  <c r="E102" i="1" l="1"/>
  <c r="C105" i="1" l="1"/>
  <c r="D98" i="1" l="1"/>
  <c r="E98" i="1" s="1"/>
  <c r="D105" i="1" l="1"/>
  <c r="D106" i="1"/>
  <c r="E105" i="1" l="1"/>
  <c r="E106" i="1"/>
  <c r="H159" i="1" l="1"/>
  <c r="H160" i="1" s="1"/>
  <c r="I7" i="1" l="1"/>
  <c r="J7" i="1"/>
  <c r="D6" i="1"/>
  <c r="B6" i="1"/>
  <c r="C48" i="1" l="1"/>
  <c r="C47" i="1" s="1"/>
  <c r="B162" i="1" l="1"/>
  <c r="C12" i="1" l="1"/>
  <c r="D12" i="1"/>
  <c r="B12" i="1"/>
  <c r="C18" i="1"/>
  <c r="D18" i="1"/>
  <c r="B18" i="1"/>
  <c r="C72" i="1" l="1"/>
  <c r="D72" i="1"/>
  <c r="B72" i="1"/>
</calcChain>
</file>

<file path=xl/sharedStrings.xml><?xml version="1.0" encoding="utf-8"?>
<sst xmlns="http://schemas.openxmlformats.org/spreadsheetml/2006/main" count="543" uniqueCount="426">
  <si>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</si>
  <si>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</si>
  <si>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</si>
  <si>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</si>
  <si>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</si>
  <si>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</si>
  <si>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</si>
  <si>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</si>
  <si>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</si>
  <si>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</si>
  <si>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</si>
  <si>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</si>
  <si>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</si>
  <si>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</si>
  <si>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</si>
  <si>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</si>
  <si>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</si>
  <si>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</si>
  <si>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</si>
  <si>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</si>
  <si>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</si>
  <si>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</si>
  <si>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</si>
  <si>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</si>
  <si>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</si>
  <si>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</si>
  <si>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</si>
  <si>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</si>
  <si>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</si>
  <si>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</si>
  <si>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</si>
  <si>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</si>
  <si>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</si>
  <si>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</si>
  <si>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</si>
  <si>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</si>
  <si>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</si>
  <si>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</si>
  <si>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</si>
  <si>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</si>
  <si>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</si>
  <si>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</si>
  <si>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</si>
  <si>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</si>
  <si>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</si>
  <si>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</si>
  <si>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</si>
  <si>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</si>
  <si>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</si>
  <si>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</si>
  <si>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</si>
  <si>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</si>
  <si>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</si>
  <si>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</si>
  <si>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</si>
  <si>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</si>
  <si>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</si>
  <si>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</si>
  <si>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</si>
  <si>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</si>
  <si>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</si>
  <si>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</si>
  <si>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</si>
  <si>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</si>
  <si>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</si>
  <si>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</si>
  <si>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</si>
  <si>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</si>
  <si>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</si>
  <si>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</si>
  <si>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</si>
  <si>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</si>
  <si>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</si>
  <si>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</si>
  <si>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</si>
  <si>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</si>
  <si>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</si>
  <si>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</si>
  <si>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</si>
  <si>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</si>
  <si>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</si>
  <si>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</si>
  <si>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</si>
  <si>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</si>
  <si>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</si>
  <si>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</si>
  <si>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</si>
  <si>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</si>
  <si>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</si>
  <si>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</si>
  <si>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</si>
  <si>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</si>
  <si>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</si>
  <si>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</si>
  <si>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</si>
  <si>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</si>
  <si>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</si>
  <si>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</si>
  <si>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</si>
  <si>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</si>
  <si>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</si>
  <si>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</si>
  <si>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</si>
  <si>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</si>
  <si>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</si>
  <si>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</si>
  <si>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</si>
  <si>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</si>
  <si>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</si>
  <si>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</si>
  <si>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</si>
  <si>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</si>
  <si>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</si>
  <si>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</si>
  <si>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</si>
  <si>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</si>
  <si>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</si>
  <si>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</si>
  <si>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</si>
  <si>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</si>
  <si>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</si>
  <si>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</si>
  <si>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</si>
  <si>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</si>
  <si>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</si>
  <si>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</si>
  <si>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</si>
  <si>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</si>
  <si>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</si>
  <si>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</si>
  <si>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</si>
  <si>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</si>
  <si>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</si>
  <si>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</si>
  <si>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</si>
  <si>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</si>
  <si>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</si>
  <si>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</si>
  <si>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</si>
  <si>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</si>
  <si>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</si>
  <si>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</si>
  <si>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</si>
  <si>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</si>
  <si>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</si>
  <si>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</si>
  <si>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</si>
  <si>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</si>
  <si>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</si>
  <si>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</si>
  <si>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</si>
  <si>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</si>
  <si>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</si>
  <si>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</si>
  <si>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</si>
  <si>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</si>
  <si>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</si>
  <si>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</si>
  <si>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</si>
  <si>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</si>
  <si>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</si>
  <si>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</si>
  <si>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</si>
  <si>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</si>
  <si>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</si>
  <si>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</si>
  <si>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</si>
  <si>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</si>
  <si>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</si>
  <si>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</si>
  <si>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</si>
  <si>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</si>
  <si>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</si>
  <si>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</si>
  <si>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</si>
  <si>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</si>
  <si>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</si>
  <si>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</si>
  <si>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</si>
  <si>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</si>
  <si>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</si>
  <si>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</si>
  <si>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</si>
  <si>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</si>
  <si>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</si>
  <si>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</si>
  <si>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Allows road salt concentrations to influence the surface humidity and melt temperature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</si>
  <si>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</si>
  <si>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</si>
  <si>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</si>
  <si>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</si>
  <si>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</si>
  <si>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</si>
  <si>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</si>
  <si>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</si>
  <si>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</si>
  <si>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</si>
  <si>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</si>
  <si>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</si>
  <si>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</si>
  <si>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</si>
  <si>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</si>
  <si>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</si>
  <si>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</si>
  <si>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</si>
  <si>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</si>
  <si>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</si>
  <si>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</si>
  <si>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</si>
  <si>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</si>
  <si>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</si>
  <si>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</si>
  <si>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</si>
  <si>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</si>
  <si>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</si>
  <si>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</si>
  <si>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</si>
  <si>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</si>
  <si>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</si>
  <si>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</si>
  <si>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</si>
  <si>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</si>
  <si>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</si>
  <si>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</si>
  <si>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</si>
  <si>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</si>
  <si>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</si>
  <si>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</si>
  <si>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</si>
  <si>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</si>
  <si>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</si>
  <si>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</si>
  <si>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</si>
  <si>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</si>
  <si>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</si>
  <si>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</si>
  <si>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</si>
  <si>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</si>
  <si>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</si>
  <si>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</si>
  <si>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</si>
  <si>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</si>
  <si>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</si>
  <si>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</si>
  <si>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</si>
  <si>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</si>
  <si>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</si>
  <si>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</si>
  <si>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</si>
  <si>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</si>
  <si>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</si>
  <si>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</si>
  <si>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</si>
  <si>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</si>
  <si>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</si>
  <si>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</si>
  <si>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</si>
  <si>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</si>
  <si>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</si>
  <si>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</si>
  <si>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</si>
  <si>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</si>
  <si>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</si>
  <si>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</si>
  <si>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</si>
  <si>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</si>
  <si>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</si>
  <si>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</si>
  <si>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</si>
  <si>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</si>
  <si>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</si>
  <si>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</si>
  <si>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1  = energy balance with ice and sub-surface, 0 = none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</si>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</sst>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5" fillId="11" borderId="0" applyNumberFormat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8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7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7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6" fillId="4" borderId="2" xfId="3" applyFont="1" applyFill="1" applyBorder="1" applyAlignment="1">
      <alignment horizontal="center" wrapText="1"/>
    </xf>
    <xf numFmtId="0" fontId="27" fillId="4" borderId="4" xfId="3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7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29" fillId="2" borderId="9" xfId="0" applyFont="1" applyFill="1" applyBorder="1" applyAlignment="1">
      <alignment wrapText="1"/>
    </xf>
    <xf numFmtId="0" fontId="30" fillId="2" borderId="9" xfId="0" applyFont="1" applyFill="1" applyBorder="1" applyAlignment="1">
      <alignment horizontal="center" wrapText="1"/>
    </xf>
    <xf numFmtId="0" fontId="30" fillId="2" borderId="9" xfId="0" applyFont="1" applyFill="1" applyBorder="1" applyAlignment="1">
      <alignment wrapText="1"/>
    </xf>
    <xf numFmtId="0" fontId="30" fillId="0" borderId="9" xfId="0" applyFont="1" applyBorder="1" applyAlignment="1">
      <alignment wrapText="1"/>
    </xf>
    <xf numFmtId="0" fontId="30" fillId="0" borderId="9" xfId="0" applyFont="1" applyBorder="1" applyAlignment="1">
      <alignment horizontal="center" wrapText="1"/>
    </xf>
    <xf numFmtId="0" fontId="31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1" fillId="2" borderId="9" xfId="0" applyFont="1" applyFill="1" applyBorder="1"/>
    <xf numFmtId="0" fontId="31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2823211</xdr:colOff>
      <xdr:row>7</xdr:row>
      <xdr:rowOff>152400</xdr:rowOff>
    </xdr:from>
    <xdr:to>
      <xdr:col>10</xdr:col>
      <xdr:colOff>440057</xdr:colOff>
      <xdr:row>13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0011" y="1638300"/>
          <a:ext cx="4371976" cy="110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8"/>
  <sheetViews>
    <sheetView zoomScale="106" zoomScaleNormal="106" workbookViewId="0">
      <selection activeCell="E37" sqref="E37"/>
    </sheetView>
  </sheetViews>
  <sheetFormatPr defaultRowHeight="15" x14ac:dyDescent="0.25"/>
  <cols>
    <col min="1" max="1" width="30.42578125" customWidth="1"/>
    <col min="2" max="4" width="18.7109375" customWidth="1"/>
    <col min="5" max="6" width="20.140625" customWidth="1"/>
    <col min="7" max="7" width="54.7109375" style="84" customWidth="1"/>
    <col min="8" max="8" width="19" style="6" customWidth="1"/>
    <col min="9" max="9" width="11.5703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3" t="s">
        <v>17</v>
      </c>
      <c r="B1" s="52">
        <v>2</v>
      </c>
      <c r="C1" s="52">
        <v>3</v>
      </c>
      <c r="D1" s="52">
        <v>4</v>
      </c>
      <c r="E1" s="52">
        <v>5</v>
      </c>
      <c r="F1" s="52"/>
      <c r="G1" s="74" t="s">
        <v>283</v>
      </c>
    </row>
    <row r="2" spans="1:17" x14ac:dyDescent="0.25">
      <c r="E2" s="67"/>
      <c r="F2" s="67"/>
      <c r="G2" s="75"/>
    </row>
    <row r="3" spans="1:17" x14ac:dyDescent="0.25">
      <c r="A3" s="3" t="s">
        <v>133</v>
      </c>
      <c r="B3" s="4"/>
      <c r="C3" s="4"/>
      <c r="D3" s="4"/>
      <c r="E3" s="4"/>
      <c r="F3" s="4"/>
      <c r="G3" s="76"/>
      <c r="H3" s="23" t="s">
        <v>406</v>
      </c>
      <c r="I3" s="21"/>
      <c r="J3" s="21"/>
      <c r="K3" s="21"/>
      <c r="L3" s="43" t="s">
        <v>191</v>
      </c>
      <c r="M3" s="43" t="s">
        <v>59</v>
      </c>
      <c r="N3" s="94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6"/>
      <c r="H4" s="21" t="s">
        <v>75</v>
      </c>
      <c r="I4" s="21" t="s">
        <v>76</v>
      </c>
      <c r="J4" s="21" t="s">
        <v>81</v>
      </c>
      <c r="K4" s="21" t="s">
        <v>189</v>
      </c>
      <c r="L4" s="33" t="s">
        <v>192</v>
      </c>
      <c r="M4" s="33" t="s">
        <v>181</v>
      </c>
      <c r="N4" s="95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6"/>
      <c r="H5" s="49">
        <v>9</v>
      </c>
      <c r="I5" s="50">
        <v>11</v>
      </c>
      <c r="J5" s="50">
        <v>75</v>
      </c>
      <c r="K5" s="54">
        <v>70</v>
      </c>
      <c r="L5" s="55">
        <f>((2.493 + H5*0.144 - I5* 0.069 - J5*0.017))*K5/70</f>
        <v>1.7549999999999992</v>
      </c>
      <c r="M5" s="55">
        <f>((2.493 + H5*0.144 - I5* 0.069 - J5*0.017)*2.88)*K5/70</f>
        <v>5.0543999999999976</v>
      </c>
      <c r="N5" s="96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0.72</v>
      </c>
      <c r="D6" s="10">
        <f>5*D7</f>
        <v>0.72</v>
      </c>
      <c r="E6" s="6"/>
      <c r="F6" s="6"/>
      <c r="G6" s="76"/>
      <c r="H6" s="44" t="s">
        <v>138</v>
      </c>
      <c r="I6" s="44"/>
      <c r="J6" s="44"/>
      <c r="K6" s="45" t="s">
        <v>182</v>
      </c>
    </row>
    <row r="7" spans="1:17" ht="15" customHeight="1" thickBot="1" x14ac:dyDescent="0.3">
      <c r="A7" s="26" t="s">
        <v>88</v>
      </c>
      <c r="B7" s="63">
        <f>2.88</f>
        <v>2.88</v>
      </c>
      <c r="C7" s="63">
        <f>B7/20</f>
        <v>0.14399999999999999</v>
      </c>
      <c r="D7" s="64">
        <f>B7/20</f>
        <v>0.14399999999999999</v>
      </c>
      <c r="E7" s="68"/>
      <c r="F7" s="6"/>
      <c r="G7" s="76"/>
      <c r="H7" s="46">
        <f>M5</f>
        <v>5.0543999999999976</v>
      </c>
      <c r="I7" s="47">
        <f>C7*K7</f>
        <v>0.25271999999999989</v>
      </c>
      <c r="J7" s="47">
        <f>D7*K7</f>
        <v>0.25271999999999989</v>
      </c>
      <c r="K7" s="48">
        <f>H7/B7</f>
        <v>1.7549999999999992</v>
      </c>
      <c r="O7" s="18"/>
      <c r="P7" s="18"/>
      <c r="Q7" s="18"/>
    </row>
    <row r="8" spans="1:17" ht="15" customHeight="1" thickBot="1" x14ac:dyDescent="0.3">
      <c r="A8" s="62" t="s">
        <v>245</v>
      </c>
      <c r="B8" s="39" t="s">
        <v>246</v>
      </c>
      <c r="C8" s="39" t="s">
        <v>247</v>
      </c>
      <c r="D8" s="39" t="s">
        <v>248</v>
      </c>
      <c r="E8" s="39" t="s">
        <v>244</v>
      </c>
      <c r="F8" s="39" t="s">
        <v>359</v>
      </c>
      <c r="G8" s="77"/>
      <c r="H8" s="32"/>
      <c r="I8" s="27"/>
      <c r="J8" s="27"/>
      <c r="K8" s="28"/>
    </row>
    <row r="9" spans="1:17" ht="15" customHeight="1" thickBot="1" x14ac:dyDescent="0.3">
      <c r="A9" s="62" t="s">
        <v>401</v>
      </c>
      <c r="B9" s="66">
        <v>0</v>
      </c>
      <c r="C9" s="66">
        <v>1</v>
      </c>
      <c r="D9" s="66">
        <v>1</v>
      </c>
      <c r="E9" s="66">
        <v>70</v>
      </c>
      <c r="F9" s="66">
        <v>30</v>
      </c>
      <c r="G9" s="78"/>
      <c r="H9" s="32"/>
      <c r="I9" s="27"/>
      <c r="J9" s="27"/>
      <c r="K9" s="28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6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6"/>
      <c r="I11" s="18"/>
      <c r="J11" s="18"/>
      <c r="K11" s="18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6"/>
    </row>
    <row r="13" spans="1:17" ht="15.75" thickBot="1" x14ac:dyDescent="0.3">
      <c r="A13" s="26" t="s">
        <v>2</v>
      </c>
      <c r="B13" s="10">
        <v>0.1</v>
      </c>
      <c r="C13" s="10">
        <v>0.1</v>
      </c>
      <c r="D13" s="10">
        <v>0.1</v>
      </c>
      <c r="E13" s="6"/>
      <c r="F13" s="6"/>
      <c r="G13" s="76"/>
    </row>
    <row r="14" spans="1:17" ht="15" customHeight="1" thickBot="1" x14ac:dyDescent="0.3">
      <c r="A14" s="62" t="s">
        <v>245</v>
      </c>
      <c r="B14" s="39" t="s">
        <v>246</v>
      </c>
      <c r="C14" s="39" t="s">
        <v>247</v>
      </c>
      <c r="D14" s="39" t="s">
        <v>248</v>
      </c>
      <c r="E14" s="39" t="s">
        <v>249</v>
      </c>
      <c r="F14" s="39" t="s">
        <v>360</v>
      </c>
      <c r="G14" s="77"/>
      <c r="H14" s="32"/>
      <c r="I14" s="27"/>
      <c r="J14" s="27"/>
      <c r="K14" s="28"/>
    </row>
    <row r="15" spans="1:17" ht="15" customHeight="1" thickBot="1" x14ac:dyDescent="0.3">
      <c r="A15" s="62" t="s">
        <v>401</v>
      </c>
      <c r="B15" s="66">
        <v>0</v>
      </c>
      <c r="C15" s="66">
        <v>1</v>
      </c>
      <c r="D15" s="66">
        <v>1</v>
      </c>
      <c r="E15" s="66">
        <v>70</v>
      </c>
      <c r="F15" s="66">
        <v>30</v>
      </c>
      <c r="G15" s="78"/>
      <c r="H15" s="32"/>
      <c r="I15" s="27"/>
      <c r="J15" s="27"/>
      <c r="K15" s="28"/>
    </row>
    <row r="16" spans="1:17" ht="16.5" thickBot="1" x14ac:dyDescent="0.35">
      <c r="A16" s="5" t="s">
        <v>3</v>
      </c>
      <c r="B16" s="6"/>
      <c r="C16" s="65"/>
      <c r="D16" s="6"/>
      <c r="E16" s="6"/>
      <c r="F16" s="6"/>
      <c r="G16" s="76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6"/>
      <c r="H17" s="9">
        <v>1</v>
      </c>
      <c r="I17" s="10" t="s">
        <v>411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6"/>
      <c r="H18" s="9">
        <v>2</v>
      </c>
      <c r="I18" s="10" t="s">
        <v>412</v>
      </c>
      <c r="J18" s="10">
        <v>2.3199999999999998</v>
      </c>
    </row>
    <row r="19" spans="1:11" ht="15.75" thickBot="1" x14ac:dyDescent="0.3">
      <c r="A19" s="26" t="s">
        <v>2</v>
      </c>
      <c r="B19" s="10">
        <v>0.01</v>
      </c>
      <c r="C19" s="10">
        <v>0.01</v>
      </c>
      <c r="D19" s="10">
        <v>0.01</v>
      </c>
      <c r="E19" s="11"/>
      <c r="F19" s="18"/>
      <c r="G19" s="79"/>
      <c r="H19" s="9">
        <v>3</v>
      </c>
      <c r="I19" s="10" t="s">
        <v>413</v>
      </c>
      <c r="J19" s="10">
        <v>2.9</v>
      </c>
    </row>
    <row r="20" spans="1:11" ht="15" customHeight="1" thickBot="1" x14ac:dyDescent="0.3">
      <c r="A20" s="62" t="s">
        <v>245</v>
      </c>
      <c r="B20" s="39" t="s">
        <v>246</v>
      </c>
      <c r="C20" s="39" t="s">
        <v>247</v>
      </c>
      <c r="D20" s="39" t="s">
        <v>248</v>
      </c>
      <c r="E20" s="39" t="s">
        <v>261</v>
      </c>
      <c r="F20" s="39" t="s">
        <v>361</v>
      </c>
      <c r="G20" s="77"/>
      <c r="H20" s="9">
        <v>4</v>
      </c>
      <c r="I20" s="10" t="s">
        <v>414</v>
      </c>
      <c r="J20" s="10">
        <v>3.6</v>
      </c>
      <c r="K20" s="28"/>
    </row>
    <row r="21" spans="1:11" ht="15" customHeight="1" thickBot="1" x14ac:dyDescent="0.3">
      <c r="A21" s="62" t="s">
        <v>401</v>
      </c>
      <c r="B21" s="66">
        <v>1</v>
      </c>
      <c r="C21" s="66">
        <v>-0.75</v>
      </c>
      <c r="D21" s="66">
        <v>1</v>
      </c>
      <c r="E21" s="66">
        <v>120</v>
      </c>
      <c r="F21" s="66">
        <v>30</v>
      </c>
      <c r="G21" s="78"/>
      <c r="H21" s="9">
        <v>5</v>
      </c>
      <c r="I21" s="10" t="s">
        <v>415</v>
      </c>
      <c r="J21" s="10">
        <v>1.5</v>
      </c>
      <c r="K21" s="27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6"/>
      <c r="H22" s="9">
        <v>6</v>
      </c>
      <c r="I22" s="10" t="s">
        <v>416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6"/>
      <c r="H23" s="9">
        <v>7</v>
      </c>
      <c r="I23" s="10" t="s">
        <v>417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6"/>
      <c r="H24" s="9">
        <v>8</v>
      </c>
      <c r="I24" s="10" t="s">
        <v>418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6"/>
      <c r="H25" s="9">
        <v>9</v>
      </c>
      <c r="I25" s="10" t="s">
        <v>419</v>
      </c>
      <c r="J25" s="10">
        <v>2.1</v>
      </c>
    </row>
    <row r="26" spans="1:11" ht="15.75" thickBot="1" x14ac:dyDescent="0.3">
      <c r="A26" s="12" t="s">
        <v>131</v>
      </c>
      <c r="B26" s="35">
        <v>10</v>
      </c>
      <c r="C26" s="61"/>
      <c r="D26" s="6"/>
      <c r="E26" s="6"/>
      <c r="F26" s="6"/>
      <c r="G26" s="76" t="s">
        <v>214</v>
      </c>
      <c r="H26" s="9">
        <v>10</v>
      </c>
      <c r="I26" s="10" t="s">
        <v>420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421</v>
      </c>
      <c r="J27" s="10">
        <v>3.11</v>
      </c>
    </row>
    <row r="28" spans="1:11" ht="15.75" thickBot="1" x14ac:dyDescent="0.3">
      <c r="A28" s="9">
        <v>1</v>
      </c>
      <c r="B28" s="10" t="s">
        <v>414</v>
      </c>
      <c r="C28" s="10">
        <v>1</v>
      </c>
      <c r="D28" s="10">
        <v>1</v>
      </c>
      <c r="E28" s="6"/>
      <c r="F28" s="6"/>
      <c r="G28" s="76"/>
      <c r="H28" s="9">
        <v>12</v>
      </c>
      <c r="I28" s="10" t="s">
        <v>422</v>
      </c>
      <c r="J28" s="10">
        <v>3.83</v>
      </c>
    </row>
    <row r="29" spans="1:11" ht="15.75" thickBot="1" x14ac:dyDescent="0.3">
      <c r="A29" s="9">
        <v>2</v>
      </c>
      <c r="B29" s="10" t="s">
        <v>413</v>
      </c>
      <c r="C29" s="10">
        <v>2.9</v>
      </c>
      <c r="D29" s="6"/>
      <c r="E29" s="6"/>
      <c r="F29" s="6"/>
      <c r="G29" s="76"/>
      <c r="H29" s="28"/>
      <c r="I29" s="18"/>
    </row>
    <row r="30" spans="1:11" ht="15.75" thickBot="1" x14ac:dyDescent="0.3">
      <c r="A30" s="9">
        <v>3</v>
      </c>
      <c r="B30" s="10" t="s">
        <v>412</v>
      </c>
      <c r="C30" s="10">
        <v>2.3199999999999998</v>
      </c>
      <c r="D30" s="6"/>
      <c r="E30" s="6"/>
      <c r="F30" s="6"/>
      <c r="G30" s="76"/>
      <c r="H30" s="28" t="s">
        <v>423</v>
      </c>
      <c r="I30" s="18"/>
    </row>
    <row r="31" spans="1:11" ht="15.75" thickBot="1" x14ac:dyDescent="0.3">
      <c r="A31" s="9">
        <v>4</v>
      </c>
      <c r="B31" s="10" t="s">
        <v>411</v>
      </c>
      <c r="C31" s="10">
        <v>1.9</v>
      </c>
      <c r="D31" s="11"/>
      <c r="E31" s="6"/>
      <c r="F31" s="6"/>
      <c r="G31" s="76"/>
      <c r="H31" s="28"/>
      <c r="I31" s="18"/>
    </row>
    <row r="32" spans="1:11" ht="16.5" thickBot="1" x14ac:dyDescent="0.35">
      <c r="A32" s="9">
        <v>5</v>
      </c>
      <c r="B32" s="10" t="s">
        <v>225</v>
      </c>
      <c r="C32" s="10">
        <v>1</v>
      </c>
      <c r="D32" s="6"/>
      <c r="E32" s="6"/>
      <c r="F32" s="6"/>
      <c r="G32" s="76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226</v>
      </c>
      <c r="C33" s="10">
        <v>4</v>
      </c>
      <c r="D33" s="6"/>
      <c r="E33" s="6"/>
      <c r="F33" s="6"/>
      <c r="G33" s="76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6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227</v>
      </c>
      <c r="C35" s="10">
        <v>1.3</v>
      </c>
      <c r="D35" s="6"/>
      <c r="E35" s="6"/>
      <c r="F35" s="6"/>
      <c r="G35" s="76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213</v>
      </c>
      <c r="C36" s="10">
        <v>1</v>
      </c>
      <c r="D36" s="6"/>
      <c r="E36" s="6"/>
      <c r="F36" s="6"/>
      <c r="G36" s="76"/>
      <c r="H36" s="9">
        <v>4</v>
      </c>
      <c r="I36" s="10" t="s">
        <v>193</v>
      </c>
      <c r="J36" s="10">
        <f>1.6</f>
        <v>1.6</v>
      </c>
    </row>
    <row r="37" spans="1:10" ht="15.75" thickBot="1" x14ac:dyDescent="0.3">
      <c r="A37" s="9">
        <v>10</v>
      </c>
      <c r="B37" s="10" t="s">
        <v>425</v>
      </c>
      <c r="C37" s="10">
        <v>0.98</v>
      </c>
      <c r="D37" s="6">
        <v>0.98</v>
      </c>
      <c r="E37" s="6"/>
      <c r="F37" s="6"/>
      <c r="G37" s="76"/>
      <c r="H37" s="9">
        <v>5</v>
      </c>
      <c r="I37" s="10" t="s">
        <v>225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6"/>
      <c r="H38" s="9">
        <v>6</v>
      </c>
      <c r="I38" s="10" t="s">
        <v>226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4"/>
      <c r="D39" s="6"/>
      <c r="E39" s="6"/>
      <c r="F39" s="6"/>
      <c r="G39" s="76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6"/>
      <c r="H40" s="9">
        <v>8</v>
      </c>
      <c r="I40" s="10" t="s">
        <v>227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6"/>
      <c r="H41" s="9">
        <v>9</v>
      </c>
      <c r="I41" s="10" t="s">
        <v>213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6"/>
      <c r="H42" s="9">
        <v>10</v>
      </c>
      <c r="I42" s="10" t="s">
        <v>352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6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6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6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69"/>
      <c r="F46" s="56"/>
      <c r="G46" s="77"/>
    </row>
    <row r="47" spans="1:10" ht="15.75" thickBot="1" x14ac:dyDescent="0.3">
      <c r="A47" s="9" t="s">
        <v>1</v>
      </c>
      <c r="B47" s="15">
        <f>40*B48</f>
        <v>6.0000000000000002E-5</v>
      </c>
      <c r="C47" s="15">
        <f t="shared" ref="C47:D47" si="0">40*C48</f>
        <v>6.0000000000000002E-5</v>
      </c>
      <c r="D47" s="15">
        <f t="shared" si="0"/>
        <v>6.0000000000000002E-5</v>
      </c>
      <c r="E47" s="70"/>
      <c r="F47" s="25"/>
      <c r="G47" s="80" t="s">
        <v>403</v>
      </c>
      <c r="H47" s="34" t="s">
        <v>190</v>
      </c>
      <c r="J47" s="34" t="s">
        <v>190</v>
      </c>
    </row>
    <row r="48" spans="1:10" ht="18.75" customHeight="1" thickBot="1" x14ac:dyDescent="0.3">
      <c r="A48" s="26" t="s">
        <v>2</v>
      </c>
      <c r="B48" s="15">
        <f>0.000001*H48</f>
        <v>1.5E-6</v>
      </c>
      <c r="C48" s="15">
        <f>0.000001*H48</f>
        <v>1.5E-6</v>
      </c>
      <c r="D48" s="15">
        <f>0.000001*H48</f>
        <v>1.5E-6</v>
      </c>
      <c r="E48" s="71"/>
      <c r="F48" s="25"/>
      <c r="G48" s="81"/>
      <c r="H48" s="51">
        <v>1.5</v>
      </c>
      <c r="I48" s="6">
        <v>5</v>
      </c>
      <c r="J48" s="51">
        <v>1.5</v>
      </c>
    </row>
    <row r="49" spans="1:12" ht="15" customHeight="1" thickBot="1" x14ac:dyDescent="0.3">
      <c r="A49" s="62" t="s">
        <v>245</v>
      </c>
      <c r="B49" s="39" t="s">
        <v>246</v>
      </c>
      <c r="C49" s="39" t="s">
        <v>247</v>
      </c>
      <c r="D49" s="39" t="s">
        <v>248</v>
      </c>
      <c r="E49" s="39" t="s">
        <v>262</v>
      </c>
      <c r="F49" s="39" t="s">
        <v>362</v>
      </c>
      <c r="G49" s="77"/>
      <c r="H49" s="32"/>
      <c r="I49" s="27"/>
      <c r="J49" s="27"/>
      <c r="K49" s="28"/>
    </row>
    <row r="50" spans="1:12" ht="15" customHeight="1" thickBot="1" x14ac:dyDescent="0.3">
      <c r="A50" s="62" t="s">
        <v>402</v>
      </c>
      <c r="B50" s="66">
        <v>0</v>
      </c>
      <c r="C50" s="66">
        <v>1</v>
      </c>
      <c r="D50" s="66">
        <v>1</v>
      </c>
      <c r="E50" s="66">
        <v>50</v>
      </c>
      <c r="F50" s="66">
        <v>20</v>
      </c>
      <c r="G50" s="78"/>
      <c r="H50" s="32"/>
      <c r="I50" s="27"/>
      <c r="J50" s="27"/>
      <c r="K50" s="28"/>
    </row>
    <row r="51" spans="1:12" ht="15.75" thickBot="1" x14ac:dyDescent="0.3">
      <c r="A51" s="5" t="s">
        <v>258</v>
      </c>
      <c r="B51" s="6"/>
      <c r="C51" s="6"/>
      <c r="D51" s="6"/>
      <c r="E51" s="6"/>
      <c r="F51" s="6"/>
      <c r="G51" s="76"/>
    </row>
    <row r="52" spans="1:12" ht="15.75" thickBot="1" x14ac:dyDescent="0.3">
      <c r="A52" s="12" t="s">
        <v>257</v>
      </c>
      <c r="B52" s="8" t="s">
        <v>280</v>
      </c>
      <c r="C52" s="8" t="s">
        <v>282</v>
      </c>
      <c r="D52" s="8" t="s">
        <v>281</v>
      </c>
      <c r="E52" s="8" t="s">
        <v>102</v>
      </c>
      <c r="F52" s="56"/>
      <c r="G52" s="77"/>
    </row>
    <row r="53" spans="1:12" ht="18.75" customHeight="1" thickBot="1" x14ac:dyDescent="0.35">
      <c r="A53" s="13" t="s">
        <v>250</v>
      </c>
      <c r="B53" s="10">
        <v>1</v>
      </c>
      <c r="C53" s="10">
        <v>1</v>
      </c>
      <c r="D53" s="10">
        <v>1</v>
      </c>
      <c r="E53" s="10">
        <v>1</v>
      </c>
      <c r="F53" s="18"/>
      <c r="G53" s="79"/>
      <c r="H53" s="25"/>
      <c r="K53" s="18"/>
      <c r="L53" s="18"/>
    </row>
    <row r="54" spans="1:12" ht="18.75" customHeight="1" thickBot="1" x14ac:dyDescent="0.35">
      <c r="A54" s="13" t="s">
        <v>251</v>
      </c>
      <c r="B54" s="10">
        <v>1</v>
      </c>
      <c r="C54" s="10">
        <v>1</v>
      </c>
      <c r="D54" s="10">
        <v>1</v>
      </c>
      <c r="E54" s="10">
        <v>1</v>
      </c>
      <c r="F54" s="18"/>
      <c r="G54" s="79"/>
      <c r="H54" s="25"/>
      <c r="K54" s="18"/>
      <c r="L54" s="18"/>
    </row>
    <row r="55" spans="1:12" ht="18.75" customHeight="1" thickBot="1" x14ac:dyDescent="0.35">
      <c r="A55" s="40" t="s">
        <v>252</v>
      </c>
      <c r="B55" s="10">
        <v>1</v>
      </c>
      <c r="C55" s="10">
        <v>1</v>
      </c>
      <c r="D55" s="10">
        <v>1</v>
      </c>
      <c r="E55" s="10">
        <v>1</v>
      </c>
      <c r="F55" s="18"/>
      <c r="G55" s="79"/>
      <c r="H55" s="25"/>
      <c r="K55" s="18"/>
      <c r="L55" s="18"/>
    </row>
    <row r="56" spans="1:12" ht="18.75" customHeight="1" thickBot="1" x14ac:dyDescent="0.35">
      <c r="A56" s="42" t="s">
        <v>253</v>
      </c>
      <c r="B56" s="10">
        <v>10</v>
      </c>
      <c r="C56" s="10">
        <v>1</v>
      </c>
      <c r="D56" s="10">
        <v>1</v>
      </c>
      <c r="E56" s="10">
        <v>1</v>
      </c>
      <c r="F56" s="18"/>
      <c r="G56" s="79"/>
      <c r="H56" s="25"/>
      <c r="K56" s="18"/>
      <c r="L56" s="18"/>
    </row>
    <row r="57" spans="1:12" ht="18.75" customHeight="1" thickBot="1" x14ac:dyDescent="0.35">
      <c r="A57" s="13" t="s">
        <v>255</v>
      </c>
      <c r="B57" s="10">
        <v>1</v>
      </c>
      <c r="C57" s="10">
        <v>1</v>
      </c>
      <c r="D57" s="10">
        <v>1</v>
      </c>
      <c r="E57" s="10">
        <v>1</v>
      </c>
      <c r="F57" s="18"/>
      <c r="G57" s="79"/>
      <c r="H57" s="25"/>
      <c r="K57" s="18"/>
      <c r="L57" s="18"/>
    </row>
    <row r="58" spans="1:12" ht="18.75" customHeight="1" thickBot="1" x14ac:dyDescent="0.35">
      <c r="A58" s="13" t="s">
        <v>256</v>
      </c>
      <c r="B58" s="10">
        <v>1</v>
      </c>
      <c r="C58" s="10">
        <v>1</v>
      </c>
      <c r="D58" s="10">
        <v>1</v>
      </c>
      <c r="E58" s="10">
        <v>1</v>
      </c>
      <c r="F58" s="18"/>
      <c r="G58" s="79"/>
      <c r="H58" s="25"/>
      <c r="K58" s="18"/>
      <c r="L58" s="18"/>
    </row>
    <row r="59" spans="1:12" ht="18.75" customHeight="1" thickBot="1" x14ac:dyDescent="0.35">
      <c r="A59" s="13" t="s">
        <v>254</v>
      </c>
      <c r="B59" s="10">
        <v>1</v>
      </c>
      <c r="C59" s="10">
        <v>1</v>
      </c>
      <c r="D59" s="10">
        <v>1</v>
      </c>
      <c r="E59" s="10">
        <v>1</v>
      </c>
      <c r="F59" s="18"/>
      <c r="G59" s="79"/>
      <c r="H59" s="25"/>
      <c r="K59" s="18"/>
      <c r="L59" s="18"/>
    </row>
    <row r="60" spans="1:12" ht="18.75" customHeight="1" thickBot="1" x14ac:dyDescent="0.35">
      <c r="A60" s="13" t="s">
        <v>259</v>
      </c>
      <c r="B60" s="10">
        <v>1</v>
      </c>
      <c r="C60" s="10">
        <v>1</v>
      </c>
      <c r="D60" s="10">
        <v>1</v>
      </c>
      <c r="E60" s="10">
        <v>1</v>
      </c>
      <c r="F60" s="18"/>
      <c r="G60" s="79"/>
      <c r="H60" s="25"/>
      <c r="K60" s="18"/>
      <c r="L60" s="18"/>
    </row>
    <row r="61" spans="1:12" ht="18.75" customHeight="1" thickBot="1" x14ac:dyDescent="0.35">
      <c r="A61" s="13" t="s">
        <v>260</v>
      </c>
      <c r="B61" s="10">
        <v>1</v>
      </c>
      <c r="C61" s="10">
        <v>1</v>
      </c>
      <c r="D61" s="10">
        <v>1</v>
      </c>
      <c r="E61" s="10">
        <v>1</v>
      </c>
      <c r="F61" s="18"/>
      <c r="G61" s="79"/>
      <c r="H61" s="25"/>
      <c r="K61" s="18"/>
      <c r="L61" s="18"/>
    </row>
    <row r="62" spans="1:12" ht="18.75" customHeight="1" thickBot="1" x14ac:dyDescent="0.35">
      <c r="A62" s="13" t="s">
        <v>342</v>
      </c>
      <c r="B62" s="10">
        <v>1</v>
      </c>
      <c r="C62" s="10">
        <v>1</v>
      </c>
      <c r="D62" s="10">
        <v>1</v>
      </c>
      <c r="E62" s="10">
        <v>1</v>
      </c>
      <c r="F62" s="18"/>
      <c r="G62" s="79" t="s">
        <v>343</v>
      </c>
      <c r="H62" s="25"/>
      <c r="K62" s="18"/>
      <c r="L62" s="18"/>
    </row>
    <row r="63" spans="1:12" ht="19.5" customHeight="1" thickBot="1" x14ac:dyDescent="0.3">
      <c r="A63" s="5" t="s">
        <v>299</v>
      </c>
      <c r="B63" s="6"/>
      <c r="C63" s="6"/>
      <c r="D63" s="6"/>
      <c r="E63" s="6"/>
      <c r="F63" s="6"/>
      <c r="G63" s="76"/>
      <c r="K63" s="18"/>
      <c r="L63" s="18"/>
    </row>
    <row r="64" spans="1:12" ht="16.5" thickBot="1" x14ac:dyDescent="0.35">
      <c r="A64" s="7" t="s">
        <v>300</v>
      </c>
      <c r="B64" s="8" t="s">
        <v>84</v>
      </c>
      <c r="C64" s="8" t="s">
        <v>85</v>
      </c>
      <c r="D64" s="8" t="s">
        <v>86</v>
      </c>
      <c r="E64" s="6"/>
      <c r="F64" s="6"/>
      <c r="G64" s="76"/>
      <c r="K64" s="18"/>
      <c r="L64" s="18"/>
    </row>
    <row r="65" spans="1:15" ht="15.75" thickBot="1" x14ac:dyDescent="0.3">
      <c r="A65" s="9" t="s">
        <v>1</v>
      </c>
      <c r="B65" s="15">
        <f>10*B66</f>
        <v>9.9999999999999991E-6</v>
      </c>
      <c r="C65" s="15">
        <f>10*C66</f>
        <v>9.9999999999999991E-6</v>
      </c>
      <c r="D65" s="15">
        <f>10*D66</f>
        <v>9.9999999999999991E-6</v>
      </c>
      <c r="E65" s="6"/>
      <c r="F65" s="6"/>
      <c r="G65" s="76"/>
      <c r="K65" s="18"/>
      <c r="L65" s="18"/>
    </row>
    <row r="66" spans="1:15" ht="15.75" thickBot="1" x14ac:dyDescent="0.3">
      <c r="A66" s="26" t="s">
        <v>2</v>
      </c>
      <c r="B66" s="15">
        <v>9.9999999999999995E-7</v>
      </c>
      <c r="C66" s="15">
        <v>9.9999999999999995E-7</v>
      </c>
      <c r="D66" s="15">
        <v>9.9999999999999995E-7</v>
      </c>
      <c r="E66" s="6"/>
      <c r="F66" s="6"/>
      <c r="G66" s="76"/>
    </row>
    <row r="67" spans="1:15" ht="15" customHeight="1" thickBot="1" x14ac:dyDescent="0.35">
      <c r="A67" s="39" t="s">
        <v>303</v>
      </c>
      <c r="B67" s="10">
        <v>60</v>
      </c>
      <c r="C67" s="18"/>
      <c r="D67" s="18"/>
      <c r="E67" s="6"/>
      <c r="F67" s="6"/>
      <c r="G67" s="76"/>
      <c r="H67" s="27"/>
      <c r="I67" s="27"/>
      <c r="J67" s="27"/>
      <c r="K67" s="28"/>
    </row>
    <row r="68" spans="1:15" ht="15.75" thickBot="1" x14ac:dyDescent="0.3">
      <c r="A68" s="12" t="s">
        <v>301</v>
      </c>
      <c r="B68" s="8" t="s">
        <v>280</v>
      </c>
      <c r="C68" s="8" t="s">
        <v>282</v>
      </c>
      <c r="D68" s="8" t="s">
        <v>281</v>
      </c>
      <c r="E68" s="8" t="s">
        <v>102</v>
      </c>
      <c r="F68" s="56"/>
      <c r="G68" s="77"/>
    </row>
    <row r="69" spans="1:15" ht="18.75" customHeight="1" thickBot="1" x14ac:dyDescent="0.35">
      <c r="A69" s="13" t="s">
        <v>304</v>
      </c>
      <c r="B69" s="10">
        <v>0</v>
      </c>
      <c r="C69" s="10">
        <v>1</v>
      </c>
      <c r="D69" s="10">
        <v>1</v>
      </c>
      <c r="E69" s="10">
        <v>1</v>
      </c>
      <c r="F69" s="18"/>
      <c r="G69" s="79" t="s">
        <v>321</v>
      </c>
      <c r="H69" s="25"/>
      <c r="K69" s="18"/>
      <c r="L69" s="18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6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6"/>
    </row>
    <row r="72" spans="1:15" ht="15.75" thickBot="1" x14ac:dyDescent="0.3">
      <c r="A72" s="9" t="s">
        <v>1</v>
      </c>
      <c r="B72" s="15">
        <f>10*B73</f>
        <v>4.9999999999999996E-6</v>
      </c>
      <c r="C72" s="15">
        <f>10*C73</f>
        <v>4.9999999999999996E-6</v>
      </c>
      <c r="D72" s="15">
        <f>10*D73</f>
        <v>4.9999999999999996E-6</v>
      </c>
      <c r="E72" s="6"/>
      <c r="F72" s="6"/>
      <c r="G72" s="76"/>
    </row>
    <row r="73" spans="1:15" ht="15.75" thickBot="1" x14ac:dyDescent="0.3">
      <c r="A73" s="26" t="s">
        <v>2</v>
      </c>
      <c r="B73" s="15">
        <v>4.9999999999999998E-7</v>
      </c>
      <c r="C73" s="15">
        <v>4.9999999999999998E-7</v>
      </c>
      <c r="D73" s="15">
        <v>4.9999999999999998E-7</v>
      </c>
      <c r="E73" s="6"/>
      <c r="F73" s="6"/>
      <c r="G73" s="76"/>
    </row>
    <row r="74" spans="1:15" ht="15" customHeight="1" thickBot="1" x14ac:dyDescent="0.35">
      <c r="A74" s="39" t="s">
        <v>117</v>
      </c>
      <c r="B74" s="10">
        <v>0</v>
      </c>
      <c r="C74" s="18"/>
      <c r="D74" s="18"/>
      <c r="E74" s="6"/>
      <c r="F74" s="6"/>
      <c r="G74" s="76"/>
      <c r="H74" s="27"/>
      <c r="I74" s="27"/>
      <c r="J74" s="27"/>
      <c r="K74" s="28"/>
    </row>
    <row r="75" spans="1:15" ht="15.75" thickBot="1" x14ac:dyDescent="0.3">
      <c r="A75" s="12" t="s">
        <v>284</v>
      </c>
      <c r="B75" s="8" t="s">
        <v>280</v>
      </c>
      <c r="C75" s="8" t="s">
        <v>282</v>
      </c>
      <c r="D75" s="8" t="s">
        <v>281</v>
      </c>
      <c r="E75" s="8" t="s">
        <v>102</v>
      </c>
      <c r="F75" s="56"/>
      <c r="G75" s="77"/>
    </row>
    <row r="76" spans="1:15" ht="18.75" customHeight="1" thickBot="1" x14ac:dyDescent="0.35">
      <c r="A76" s="13" t="s">
        <v>285</v>
      </c>
      <c r="B76" s="10">
        <v>1</v>
      </c>
      <c r="C76" s="10">
        <v>1</v>
      </c>
      <c r="D76" s="10">
        <v>0</v>
      </c>
      <c r="E76" s="10">
        <v>0</v>
      </c>
      <c r="F76" s="18"/>
      <c r="G76" s="79" t="s">
        <v>322</v>
      </c>
      <c r="H76" s="25"/>
      <c r="K76" s="18"/>
      <c r="L76" s="18"/>
    </row>
    <row r="77" spans="1:15" ht="15.75" thickBot="1" x14ac:dyDescent="0.3">
      <c r="A77" s="5" t="s">
        <v>288</v>
      </c>
      <c r="B77" s="6"/>
      <c r="C77" s="6"/>
      <c r="D77" s="6"/>
      <c r="E77" s="6"/>
      <c r="F77" s="6"/>
      <c r="G77" s="76"/>
    </row>
    <row r="78" spans="1:15" ht="15.75" thickBot="1" x14ac:dyDescent="0.3">
      <c r="A78" s="12" t="s">
        <v>257</v>
      </c>
      <c r="B78" s="8" t="s">
        <v>305</v>
      </c>
      <c r="C78" s="8" t="s">
        <v>287</v>
      </c>
      <c r="D78" s="6"/>
      <c r="E78" s="6"/>
      <c r="F78" s="6"/>
      <c r="G78" s="76"/>
      <c r="O78"/>
    </row>
    <row r="79" spans="1:15" ht="16.5" thickBot="1" x14ac:dyDescent="0.35">
      <c r="A79" s="13" t="s">
        <v>289</v>
      </c>
      <c r="B79" s="10">
        <v>1</v>
      </c>
      <c r="C79" s="10">
        <v>1</v>
      </c>
      <c r="D79" s="25"/>
      <c r="E79" s="6"/>
      <c r="F79" s="6"/>
      <c r="G79" s="76"/>
      <c r="O79"/>
    </row>
    <row r="80" spans="1:15" ht="16.5" thickBot="1" x14ac:dyDescent="0.35">
      <c r="A80" s="13" t="s">
        <v>290</v>
      </c>
      <c r="B80" s="10">
        <v>0</v>
      </c>
      <c r="C80" s="10">
        <v>1</v>
      </c>
      <c r="D80" s="25"/>
      <c r="E80" s="6"/>
      <c r="F80" s="6"/>
      <c r="G80" s="76"/>
      <c r="O80"/>
    </row>
    <row r="81" spans="1:16" ht="16.5" thickBot="1" x14ac:dyDescent="0.35">
      <c r="A81" s="40" t="s">
        <v>291</v>
      </c>
      <c r="B81" s="10">
        <v>0</v>
      </c>
      <c r="C81" s="10">
        <v>1</v>
      </c>
      <c r="D81" s="25"/>
      <c r="E81" s="6"/>
      <c r="F81" s="6"/>
      <c r="G81" s="76"/>
      <c r="O81"/>
    </row>
    <row r="82" spans="1:16" ht="16.5" thickBot="1" x14ac:dyDescent="0.35">
      <c r="A82" s="42" t="s">
        <v>292</v>
      </c>
      <c r="B82" s="10">
        <v>1</v>
      </c>
      <c r="C82" s="10">
        <v>1</v>
      </c>
      <c r="D82" s="25"/>
      <c r="E82" s="6"/>
      <c r="F82" s="6"/>
      <c r="G82" s="76"/>
      <c r="O82"/>
    </row>
    <row r="83" spans="1:16" ht="16.5" thickBot="1" x14ac:dyDescent="0.35">
      <c r="A83" s="13" t="s">
        <v>293</v>
      </c>
      <c r="B83" s="10">
        <v>1</v>
      </c>
      <c r="C83" s="10">
        <v>1</v>
      </c>
      <c r="D83" s="25"/>
      <c r="E83" s="6"/>
      <c r="F83" s="6"/>
      <c r="G83" s="76"/>
      <c r="O83"/>
    </row>
    <row r="84" spans="1:16" ht="16.5" thickBot="1" x14ac:dyDescent="0.35">
      <c r="A84" s="13" t="s">
        <v>294</v>
      </c>
      <c r="B84" s="10">
        <v>1</v>
      </c>
      <c r="C84" s="10">
        <v>1</v>
      </c>
      <c r="D84" s="25"/>
      <c r="E84" s="6"/>
      <c r="F84" s="6"/>
      <c r="G84" s="76"/>
      <c r="O84"/>
    </row>
    <row r="85" spans="1:16" ht="16.5" thickBot="1" x14ac:dyDescent="0.35">
      <c r="A85" s="13" t="s">
        <v>295</v>
      </c>
      <c r="B85" s="10">
        <v>0</v>
      </c>
      <c r="C85" s="10">
        <v>0</v>
      </c>
      <c r="D85" s="25"/>
      <c r="E85" s="6"/>
      <c r="F85" s="6"/>
      <c r="G85" s="76"/>
    </row>
    <row r="86" spans="1:16" ht="16.5" thickBot="1" x14ac:dyDescent="0.35">
      <c r="A86" s="13" t="s">
        <v>296</v>
      </c>
      <c r="B86" s="10">
        <v>0</v>
      </c>
      <c r="C86" s="10">
        <v>0</v>
      </c>
      <c r="D86" s="25"/>
      <c r="E86" s="6"/>
      <c r="F86" s="6"/>
      <c r="G86" s="76"/>
      <c r="P86" s="6"/>
    </row>
    <row r="87" spans="1:16" ht="16.5" thickBot="1" x14ac:dyDescent="0.35">
      <c r="A87" s="13" t="s">
        <v>297</v>
      </c>
      <c r="B87" s="10">
        <v>0</v>
      </c>
      <c r="C87" s="10">
        <v>0</v>
      </c>
      <c r="D87" s="25"/>
      <c r="E87" s="6"/>
      <c r="F87" s="6"/>
      <c r="G87" s="76"/>
      <c r="I87" s="18"/>
      <c r="J87" s="18"/>
      <c r="K87" s="18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6"/>
      <c r="I88" s="18"/>
      <c r="J88" s="18"/>
      <c r="K88" s="18"/>
      <c r="P88" s="6"/>
    </row>
    <row r="89" spans="1:16" ht="15.75" thickBot="1" x14ac:dyDescent="0.3">
      <c r="A89" s="12" t="s">
        <v>278</v>
      </c>
      <c r="B89" s="8" t="s">
        <v>15</v>
      </c>
      <c r="C89" s="6"/>
      <c r="D89" s="6"/>
      <c r="E89" s="6"/>
      <c r="F89" s="6"/>
      <c r="G89" s="76"/>
      <c r="I89" s="18"/>
      <c r="J89" s="18"/>
      <c r="K89" s="18"/>
      <c r="P89" s="6"/>
    </row>
    <row r="90" spans="1:16" ht="16.5" thickBot="1" x14ac:dyDescent="0.35">
      <c r="A90" s="13" t="s">
        <v>98</v>
      </c>
      <c r="B90" s="10">
        <v>1</v>
      </c>
      <c r="C90" s="6"/>
      <c r="D90" s="6"/>
      <c r="E90" s="6"/>
      <c r="F90" s="6"/>
      <c r="G90" s="76"/>
      <c r="I90" s="18"/>
      <c r="J90" s="18"/>
      <c r="K90" s="18"/>
      <c r="P90" s="6"/>
    </row>
    <row r="91" spans="1:16" ht="16.5" thickBot="1" x14ac:dyDescent="0.35">
      <c r="A91" s="13" t="s">
        <v>279</v>
      </c>
      <c r="B91" s="10">
        <v>1</v>
      </c>
      <c r="C91" s="6"/>
      <c r="D91" s="6"/>
      <c r="E91" s="6"/>
      <c r="F91" s="6"/>
      <c r="G91" s="76"/>
      <c r="I91" s="18"/>
      <c r="J91" s="18"/>
      <c r="K91" s="18"/>
      <c r="P91" s="6"/>
    </row>
    <row r="92" spans="1:16" ht="16.5" thickBot="1" x14ac:dyDescent="0.35">
      <c r="A92" s="13" t="s">
        <v>99</v>
      </c>
      <c r="B92" s="10">
        <v>1</v>
      </c>
      <c r="C92" s="6"/>
      <c r="D92" s="6"/>
      <c r="E92" s="6"/>
      <c r="F92" s="6"/>
      <c r="G92" s="76"/>
      <c r="I92" s="18"/>
      <c r="J92" s="18"/>
      <c r="K92" s="18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6"/>
      <c r="I93" s="18"/>
      <c r="J93" s="18"/>
      <c r="K93" s="18"/>
      <c r="P93" s="6"/>
    </row>
    <row r="94" spans="1:16" ht="16.5" thickBot="1" x14ac:dyDescent="0.35">
      <c r="A94" s="13" t="s">
        <v>302</v>
      </c>
      <c r="B94" s="10">
        <v>0</v>
      </c>
      <c r="C94" s="6"/>
      <c r="D94" s="6"/>
      <c r="E94" s="6"/>
      <c r="F94" s="6"/>
      <c r="G94" s="76"/>
      <c r="I94" s="18"/>
      <c r="J94" s="18"/>
      <c r="K94" s="18"/>
      <c r="P94" s="6"/>
    </row>
    <row r="95" spans="1:16" ht="16.5" thickBot="1" x14ac:dyDescent="0.35">
      <c r="A95" s="13" t="s">
        <v>277</v>
      </c>
      <c r="B95" s="10">
        <v>0.98</v>
      </c>
      <c r="C95" s="6"/>
      <c r="D95" s="6"/>
      <c r="E95" s="6"/>
      <c r="F95" s="6"/>
      <c r="G95" s="76" t="s">
        <v>298</v>
      </c>
      <c r="I95" s="18"/>
      <c r="J95" s="18"/>
      <c r="K95" s="18"/>
      <c r="P95" s="6"/>
    </row>
    <row r="96" spans="1:16" ht="15" customHeight="1" thickBot="1" x14ac:dyDescent="0.3">
      <c r="A96" s="5" t="s">
        <v>348</v>
      </c>
      <c r="B96" s="6"/>
      <c r="C96" s="6"/>
      <c r="D96" s="6"/>
      <c r="E96" s="6"/>
      <c r="F96" s="6"/>
      <c r="G96" s="77"/>
      <c r="H96" s="27"/>
      <c r="I96" s="27"/>
      <c r="J96" s="27"/>
      <c r="K96" s="28"/>
    </row>
    <row r="97" spans="1:15" ht="18" customHeight="1" thickBot="1" x14ac:dyDescent="0.3">
      <c r="A97" s="12" t="s">
        <v>257</v>
      </c>
      <c r="B97" s="8" t="s">
        <v>263</v>
      </c>
      <c r="C97" s="8" t="s">
        <v>239</v>
      </c>
      <c r="D97" s="8" t="s">
        <v>101</v>
      </c>
      <c r="E97" s="8" t="s">
        <v>102</v>
      </c>
      <c r="F97" s="56"/>
      <c r="G97" s="79"/>
      <c r="H97" s="18"/>
      <c r="I97" s="27"/>
      <c r="J97" s="27"/>
      <c r="K97" s="28"/>
    </row>
    <row r="98" spans="1:15" ht="16.5" thickBot="1" x14ac:dyDescent="0.35">
      <c r="A98" s="13" t="s">
        <v>234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18"/>
      <c r="G98" s="79"/>
    </row>
    <row r="99" spans="1:15" ht="16.5" thickBot="1" x14ac:dyDescent="0.35">
      <c r="A99" s="13" t="s">
        <v>235</v>
      </c>
      <c r="B99" s="10">
        <v>1</v>
      </c>
      <c r="C99" s="10">
        <v>1</v>
      </c>
      <c r="D99" s="10">
        <v>0.1</v>
      </c>
      <c r="E99" s="10">
        <v>0.01</v>
      </c>
      <c r="F99" s="18"/>
      <c r="G99" s="79"/>
      <c r="L99" s="18"/>
      <c r="M99" s="18"/>
    </row>
    <row r="100" spans="1:15" ht="16.5" thickBot="1" x14ac:dyDescent="0.35">
      <c r="A100" s="40" t="s">
        <v>236</v>
      </c>
      <c r="B100" s="10">
        <v>1</v>
      </c>
      <c r="C100" s="10">
        <v>1</v>
      </c>
      <c r="D100" s="10">
        <v>0.8</v>
      </c>
      <c r="E100" s="10">
        <v>0.5</v>
      </c>
      <c r="F100" s="18"/>
      <c r="G100" s="79"/>
      <c r="H100" s="18"/>
      <c r="L100" s="18"/>
      <c r="M100" s="18"/>
    </row>
    <row r="101" spans="1:15" ht="16.5" thickBot="1" x14ac:dyDescent="0.35">
      <c r="A101" s="42" t="s">
        <v>237</v>
      </c>
      <c r="B101" s="10">
        <v>1</v>
      </c>
      <c r="C101" s="10">
        <v>0.05</v>
      </c>
      <c r="D101" s="112">
        <f>C101*0.16</f>
        <v>8.0000000000000002E-3</v>
      </c>
      <c r="E101" s="10">
        <f>C101*0.04</f>
        <v>2E-3</v>
      </c>
      <c r="F101" s="18"/>
      <c r="G101" s="79"/>
      <c r="H101" s="18"/>
      <c r="L101" s="18"/>
      <c r="M101" s="18"/>
    </row>
    <row r="102" spans="1:15" ht="16.5" thickBot="1" x14ac:dyDescent="0.35">
      <c r="A102" s="13" t="s">
        <v>242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18"/>
      <c r="G102" s="79"/>
      <c r="L102" s="18"/>
      <c r="M102" s="18"/>
    </row>
    <row r="103" spans="1:15" ht="18" customHeight="1" thickBot="1" x14ac:dyDescent="0.35">
      <c r="A103" s="13" t="s">
        <v>243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18"/>
      <c r="G103" s="79"/>
      <c r="I103" s="56"/>
      <c r="J103" s="56"/>
      <c r="K103" s="56"/>
      <c r="L103" s="56"/>
      <c r="M103" s="18"/>
      <c r="O103"/>
    </row>
    <row r="104" spans="1:15" ht="16.5" thickBot="1" x14ac:dyDescent="0.35">
      <c r="A104" s="13" t="s">
        <v>238</v>
      </c>
      <c r="B104" s="10">
        <v>1</v>
      </c>
      <c r="C104" s="10">
        <v>1</v>
      </c>
      <c r="D104" s="10">
        <v>1</v>
      </c>
      <c r="E104" s="10">
        <v>1</v>
      </c>
      <c r="F104" s="18"/>
      <c r="G104" s="79"/>
      <c r="H104" s="18"/>
      <c r="I104" s="18"/>
      <c r="J104" s="18"/>
      <c r="K104" s="18"/>
      <c r="L104" s="18"/>
      <c r="O104"/>
    </row>
    <row r="105" spans="1:15" ht="16.5" thickBot="1" x14ac:dyDescent="0.35">
      <c r="A105" s="13" t="s">
        <v>240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18"/>
      <c r="G105" s="79"/>
      <c r="H105" s="18"/>
      <c r="I105" s="18"/>
      <c r="J105" s="18"/>
      <c r="K105" s="18"/>
      <c r="L105" s="18"/>
      <c r="O105"/>
    </row>
    <row r="106" spans="1:15" ht="16.5" thickBot="1" x14ac:dyDescent="0.35">
      <c r="A106" s="13" t="s">
        <v>241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18"/>
      <c r="G106" s="76"/>
      <c r="H106" s="18"/>
      <c r="I106" s="18"/>
      <c r="J106" s="18"/>
      <c r="K106" s="18"/>
      <c r="L106" s="18"/>
      <c r="M106" s="18"/>
      <c r="O106"/>
    </row>
    <row r="107" spans="1:15" ht="16.5" thickBot="1" x14ac:dyDescent="0.35">
      <c r="A107" s="13" t="s">
        <v>308</v>
      </c>
      <c r="B107" s="10">
        <v>1</v>
      </c>
      <c r="C107" s="10">
        <f>C98/1</f>
        <v>1</v>
      </c>
      <c r="D107" s="10">
        <v>0.28000000000000003</v>
      </c>
      <c r="E107" s="10">
        <v>2.24E-2</v>
      </c>
      <c r="F107" s="18"/>
      <c r="G107" s="76" t="s">
        <v>314</v>
      </c>
      <c r="H107" s="18"/>
      <c r="I107" s="18"/>
      <c r="J107" s="18"/>
      <c r="K107" s="18"/>
      <c r="L107" s="18"/>
      <c r="M107" s="18"/>
      <c r="O107"/>
    </row>
    <row r="108" spans="1:15" ht="16.5" thickBot="1" x14ac:dyDescent="0.35">
      <c r="A108" s="13" t="s">
        <v>309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18"/>
      <c r="G108" s="76" t="s">
        <v>320</v>
      </c>
      <c r="H108" s="18"/>
      <c r="I108" s="18"/>
      <c r="J108" s="18"/>
      <c r="K108" s="18"/>
      <c r="L108" s="18"/>
      <c r="M108" s="18"/>
      <c r="O108"/>
    </row>
    <row r="109" spans="1:15" ht="21.75" customHeight="1" thickBot="1" x14ac:dyDescent="0.35">
      <c r="A109" s="39" t="s">
        <v>118</v>
      </c>
      <c r="B109" s="10">
        <v>50</v>
      </c>
      <c r="C109" s="18"/>
      <c r="D109" s="18"/>
      <c r="E109" s="6"/>
      <c r="F109" s="6"/>
      <c r="G109" s="76"/>
      <c r="H109" s="18"/>
      <c r="I109" s="18"/>
      <c r="J109" s="18"/>
      <c r="K109" s="18"/>
      <c r="L109" s="18"/>
      <c r="O109"/>
    </row>
    <row r="110" spans="1:15" ht="16.5" thickBot="1" x14ac:dyDescent="0.35">
      <c r="A110" s="39" t="s">
        <v>119</v>
      </c>
      <c r="B110" s="10">
        <v>0</v>
      </c>
      <c r="D110" s="18"/>
      <c r="E110" s="6"/>
      <c r="F110" s="6"/>
      <c r="G110" s="91" t="s">
        <v>409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6"/>
      <c r="H111" s="25"/>
      <c r="K111" s="18"/>
      <c r="L111" s="18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6"/>
      <c r="H112" s="25"/>
      <c r="K112" s="18"/>
      <c r="L112" s="18"/>
    </row>
    <row r="113" spans="1:15" ht="18.75" customHeight="1" thickBot="1" x14ac:dyDescent="0.35">
      <c r="A113" s="16" t="s">
        <v>103</v>
      </c>
      <c r="B113" s="10">
        <v>12</v>
      </c>
      <c r="C113" s="6"/>
      <c r="D113" s="6"/>
      <c r="E113" s="6"/>
      <c r="F113" s="6"/>
      <c r="G113" s="76"/>
      <c r="H113" s="25"/>
      <c r="K113" s="18"/>
      <c r="L113" s="18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6"/>
      <c r="H114" s="25"/>
      <c r="K114" s="18"/>
      <c r="L114" s="18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7"/>
    </row>
    <row r="116" spans="1:15" ht="15.75" thickBot="1" x14ac:dyDescent="0.3">
      <c r="A116" s="12" t="s">
        <v>264</v>
      </c>
      <c r="B116" s="8" t="s">
        <v>280</v>
      </c>
      <c r="C116" s="8" t="s">
        <v>282</v>
      </c>
      <c r="D116" s="8" t="s">
        <v>281</v>
      </c>
      <c r="E116" s="8" t="s">
        <v>102</v>
      </c>
      <c r="F116" s="56"/>
      <c r="G116" s="79"/>
    </row>
    <row r="117" spans="1:15" ht="16.5" thickBot="1" x14ac:dyDescent="0.35">
      <c r="A117" s="13" t="s">
        <v>105</v>
      </c>
      <c r="B117" s="10">
        <v>0.01</v>
      </c>
      <c r="C117" s="10">
        <f>D117</f>
        <v>0.01</v>
      </c>
      <c r="D117" s="10">
        <f>B117</f>
        <v>0.01</v>
      </c>
      <c r="E117" s="10">
        <f>B117</f>
        <v>0.01</v>
      </c>
      <c r="F117" s="18"/>
      <c r="G117" s="79"/>
    </row>
    <row r="118" spans="1:15" ht="16.5" thickBot="1" x14ac:dyDescent="0.35">
      <c r="A118" s="13" t="s">
        <v>106</v>
      </c>
      <c r="B118" s="10">
        <v>1E-3</v>
      </c>
      <c r="C118" s="10">
        <v>1E-3</v>
      </c>
      <c r="D118" s="10">
        <v>1E-3</v>
      </c>
      <c r="E118" s="10">
        <v>1E-3</v>
      </c>
      <c r="F118" s="18"/>
      <c r="G118" s="79"/>
    </row>
    <row r="119" spans="1:15" ht="16.5" thickBot="1" x14ac:dyDescent="0.35">
      <c r="A119" s="13" t="s">
        <v>107</v>
      </c>
      <c r="B119" s="10">
        <f>0.02/200</f>
        <v>1E-4</v>
      </c>
      <c r="C119" s="10">
        <f>B119</f>
        <v>1E-4</v>
      </c>
      <c r="D119" s="10">
        <f>B119</f>
        <v>1E-4</v>
      </c>
      <c r="E119" s="10">
        <f>B119</f>
        <v>1E-4</v>
      </c>
      <c r="F119" s="18"/>
      <c r="G119" s="79"/>
      <c r="L119" s="18"/>
      <c r="M119" s="18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18"/>
      <c r="G120" s="77"/>
      <c r="H120" s="18"/>
      <c r="I120" s="18"/>
      <c r="J120" s="18"/>
      <c r="K120" s="18"/>
      <c r="L120" s="18"/>
      <c r="M120" s="18"/>
    </row>
    <row r="121" spans="1:15" ht="15.75" thickBot="1" x14ac:dyDescent="0.3">
      <c r="A121" s="12" t="s">
        <v>265</v>
      </c>
      <c r="B121" s="8" t="s">
        <v>266</v>
      </c>
      <c r="C121" s="8" t="s">
        <v>267</v>
      </c>
      <c r="D121" s="72"/>
      <c r="E121" s="73"/>
      <c r="F121" s="56"/>
      <c r="G121" s="79"/>
      <c r="L121" s="18"/>
      <c r="M121" s="18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18"/>
      <c r="F122" s="18"/>
      <c r="G122" s="79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18"/>
      <c r="F123" s="18"/>
      <c r="G123" s="79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18"/>
      <c r="F124" s="18"/>
      <c r="G124" s="79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18"/>
      <c r="F125" s="18"/>
      <c r="G125" s="76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6"/>
      <c r="H126" s="25"/>
      <c r="I126" s="25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282</v>
      </c>
      <c r="C127" s="8" t="s">
        <v>281</v>
      </c>
      <c r="D127" s="8" t="s">
        <v>102</v>
      </c>
      <c r="E127" s="6"/>
      <c r="F127" s="6"/>
      <c r="G127" s="76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6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6"/>
      <c r="H129" s="27"/>
      <c r="I129" s="27"/>
      <c r="J129" s="27"/>
      <c r="K129" s="28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6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6" t="s">
        <v>136</v>
      </c>
      <c r="B131" s="10">
        <v>5</v>
      </c>
      <c r="C131" s="6"/>
      <c r="D131" s="6"/>
      <c r="E131" s="6"/>
      <c r="F131" s="10">
        <v>5</v>
      </c>
      <c r="G131" s="76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6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7"/>
      <c r="B133" s="18"/>
      <c r="C133" s="18"/>
      <c r="D133" s="18"/>
      <c r="E133" s="6"/>
      <c r="F133" s="6"/>
      <c r="G133" s="76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6"/>
      <c r="H134" s="25"/>
      <c r="I134" s="25"/>
      <c r="J134" s="25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6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337</v>
      </c>
      <c r="C136" s="8" t="s">
        <v>338</v>
      </c>
      <c r="D136" s="8" t="s">
        <v>341</v>
      </c>
      <c r="E136" s="6"/>
      <c r="F136" s="6"/>
      <c r="G136" s="76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339</v>
      </c>
      <c r="B137" s="19">
        <f>6*B138</f>
        <v>7.7999999999999999E-5</v>
      </c>
      <c r="C137" s="19">
        <f>6*C138</f>
        <v>7.7999999999999999E-6</v>
      </c>
      <c r="D137" s="19">
        <f>6*D138</f>
        <v>7.7999999999999994E-7</v>
      </c>
      <c r="E137" s="6"/>
      <c r="F137" s="6"/>
      <c r="G137" s="76"/>
      <c r="H137" s="25"/>
      <c r="I137" s="25"/>
      <c r="J137" s="25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340</v>
      </c>
      <c r="B138" s="19">
        <f>0.00013*0.1</f>
        <v>1.2999999999999999E-5</v>
      </c>
      <c r="C138" s="19">
        <f>B138/10</f>
        <v>1.2999999999999998E-6</v>
      </c>
      <c r="D138" s="19">
        <f>B138/100</f>
        <v>1.3E-7</v>
      </c>
      <c r="E138" s="6"/>
      <c r="G138" s="76" t="s">
        <v>367</v>
      </c>
      <c r="H138" s="19">
        <f>0.00013*1</f>
        <v>1.2999999999999999E-4</v>
      </c>
      <c r="I138" s="19">
        <f>H138/10</f>
        <v>1.2999999999999999E-5</v>
      </c>
      <c r="J138" s="19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6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6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39" t="s">
        <v>229</v>
      </c>
      <c r="B141" s="10">
        <v>2</v>
      </c>
      <c r="C141" s="10">
        <v>2</v>
      </c>
      <c r="D141" s="10">
        <v>2</v>
      </c>
      <c r="E141" s="6"/>
      <c r="F141" s="6"/>
      <c r="G141" s="76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230</v>
      </c>
      <c r="B142" s="10">
        <v>30</v>
      </c>
      <c r="C142" s="10">
        <v>30</v>
      </c>
      <c r="D142" s="10">
        <v>30</v>
      </c>
      <c r="E142" s="6"/>
      <c r="F142" s="6"/>
      <c r="G142" s="76"/>
      <c r="H142" s="18"/>
      <c r="I142" s="18"/>
      <c r="J142" s="18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6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1" t="s">
        <v>14</v>
      </c>
      <c r="B144" s="8" t="s">
        <v>366</v>
      </c>
      <c r="C144" s="85" t="s">
        <v>365</v>
      </c>
      <c r="D144" s="6"/>
      <c r="E144" s="6"/>
      <c r="F144" s="6"/>
      <c r="G144" s="76" t="s">
        <v>363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2" t="s">
        <v>113</v>
      </c>
      <c r="B145" s="10">
        <v>1</v>
      </c>
      <c r="C145" s="86">
        <v>0.2</v>
      </c>
      <c r="D145" s="6"/>
      <c r="E145" s="6"/>
      <c r="F145" s="6"/>
      <c r="G145" s="76"/>
      <c r="H145" s="10">
        <v>0.5</v>
      </c>
      <c r="I145" s="86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2" t="s">
        <v>197</v>
      </c>
      <c r="B146" s="10">
        <v>2</v>
      </c>
      <c r="C146" s="6"/>
      <c r="D146" s="6"/>
      <c r="E146" s="6"/>
      <c r="F146" s="6"/>
      <c r="G146" s="76" t="s">
        <v>351</v>
      </c>
      <c r="K146" s="18"/>
      <c r="L146" s="18"/>
      <c r="M146" s="18"/>
      <c r="N146" s="6"/>
      <c r="O146" s="6"/>
    </row>
    <row r="147" spans="1:15" s="2" customFormat="1" ht="13.5" thickBot="1" x14ac:dyDescent="0.25">
      <c r="A147" s="42" t="s">
        <v>353</v>
      </c>
      <c r="B147" s="10">
        <v>12</v>
      </c>
      <c r="C147" s="6"/>
      <c r="D147" s="6"/>
      <c r="E147" s="6"/>
      <c r="F147" s="6"/>
      <c r="G147" s="76" t="s">
        <v>354</v>
      </c>
      <c r="K147" s="18"/>
      <c r="L147" s="18"/>
      <c r="M147" s="18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6"/>
      <c r="H148" s="92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337</v>
      </c>
      <c r="C149" s="8" t="s">
        <v>338</v>
      </c>
      <c r="D149" s="8" t="s">
        <v>341</v>
      </c>
      <c r="E149" s="6"/>
      <c r="F149" s="6"/>
      <c r="G149" s="76"/>
      <c r="H149" s="18"/>
      <c r="I149" s="18"/>
      <c r="J149" s="18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6" t="s">
        <v>350</v>
      </c>
      <c r="H150" s="25"/>
      <c r="I150" s="25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6" t="s">
        <v>357</v>
      </c>
      <c r="J151" s="6"/>
      <c r="K151" s="6"/>
      <c r="L151" s="6"/>
      <c r="M151" s="6"/>
      <c r="N151" s="6"/>
      <c r="O151" s="6"/>
    </row>
    <row r="152" spans="1:15" s="38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6"/>
      <c r="J152" s="37"/>
      <c r="K152" s="37"/>
      <c r="L152" s="37"/>
      <c r="M152" s="37"/>
      <c r="N152" s="37"/>
      <c r="O152" s="37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6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6"/>
    </row>
    <row r="155" spans="1:15" ht="15.75" thickBot="1" x14ac:dyDescent="0.3">
      <c r="A155" s="13" t="s">
        <v>74</v>
      </c>
      <c r="B155" s="10">
        <v>10</v>
      </c>
      <c r="C155" s="6"/>
      <c r="D155" s="6"/>
      <c r="E155" s="6"/>
      <c r="F155" s="6"/>
      <c r="G155" s="76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6" t="s">
        <v>286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6"/>
    </row>
    <row r="158" spans="1:15" ht="15.75" thickBot="1" x14ac:dyDescent="0.3">
      <c r="A158" s="13" t="s">
        <v>358</v>
      </c>
      <c r="B158" s="10">
        <v>48</v>
      </c>
      <c r="D158" s="2"/>
      <c r="E158" s="6"/>
      <c r="F158" s="6"/>
      <c r="G158" s="76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6" t="s">
        <v>128</v>
      </c>
      <c r="E159" s="6"/>
      <c r="F159" s="6"/>
      <c r="G159" s="76"/>
      <c r="H159" s="58">
        <f>(D160/(B160*C160)/2/0.000073)^0.5</f>
        <v>8.446717229993575E-2</v>
      </c>
      <c r="I159" s="57" t="s">
        <v>202</v>
      </c>
      <c r="J159" s="59"/>
    </row>
    <row r="160" spans="1:15" ht="15.75" thickBot="1" x14ac:dyDescent="0.3">
      <c r="A160" s="13" t="s">
        <v>122</v>
      </c>
      <c r="B160" s="29">
        <v>2400</v>
      </c>
      <c r="C160" s="30">
        <v>800</v>
      </c>
      <c r="D160" s="31">
        <v>2</v>
      </c>
      <c r="E160" s="6"/>
      <c r="F160" s="6"/>
      <c r="G160" s="76"/>
      <c r="H160" s="60">
        <f>0.000073*B160*C160*H159</f>
        <v>11.838918869558995</v>
      </c>
      <c r="I160" s="57" t="s">
        <v>203</v>
      </c>
      <c r="J160"/>
    </row>
    <row r="161" spans="1:15" ht="25.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6"/>
    </row>
    <row r="162" spans="1:15" ht="16.5" thickBot="1" x14ac:dyDescent="0.35">
      <c r="A162" s="13" t="s">
        <v>121</v>
      </c>
      <c r="B162" s="19">
        <f>10*C162</f>
        <v>0.01</v>
      </c>
      <c r="C162" s="19">
        <v>1E-3</v>
      </c>
      <c r="D162" s="6"/>
      <c r="E162" s="6"/>
      <c r="F162" s="6"/>
      <c r="G162" s="76"/>
    </row>
    <row r="163" spans="1:15" ht="16.5" thickBot="1" x14ac:dyDescent="0.35">
      <c r="A163" s="13" t="s">
        <v>124</v>
      </c>
      <c r="B163" s="19">
        <f>3*C163</f>
        <v>150</v>
      </c>
      <c r="C163" s="19">
        <v>50</v>
      </c>
      <c r="D163" s="6"/>
      <c r="E163" s="6"/>
      <c r="F163" s="6"/>
      <c r="G163" s="82" t="s">
        <v>410</v>
      </c>
      <c r="H163" s="19">
        <v>50</v>
      </c>
    </row>
    <row r="164" spans="1:15" ht="15.75" thickBot="1" x14ac:dyDescent="0.3">
      <c r="A164" s="5" t="s">
        <v>23</v>
      </c>
      <c r="B164" s="6"/>
      <c r="C164" s="6"/>
      <c r="D164" s="37"/>
      <c r="E164" s="37"/>
      <c r="F164" s="37"/>
      <c r="G164" s="83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7" t="s">
        <v>233</v>
      </c>
      <c r="G165" s="76" t="s">
        <v>404</v>
      </c>
      <c r="H165" s="8" t="s">
        <v>19</v>
      </c>
      <c r="I165" s="8" t="s">
        <v>62</v>
      </c>
      <c r="J165" s="87" t="s">
        <v>233</v>
      </c>
    </row>
    <row r="166" spans="1:15" ht="16.5" thickBot="1" x14ac:dyDescent="0.35">
      <c r="A166" s="13" t="s">
        <v>115</v>
      </c>
      <c r="B166" s="10">
        <v>0.06</v>
      </c>
      <c r="C166" s="10">
        <v>0.5</v>
      </c>
      <c r="D166" s="88">
        <v>250</v>
      </c>
      <c r="G166" s="83"/>
      <c r="H166" s="10">
        <v>0.06</v>
      </c>
      <c r="I166" s="10">
        <v>0.5</v>
      </c>
      <c r="J166" s="88">
        <v>250</v>
      </c>
      <c r="K166" s="93"/>
    </row>
    <row r="167" spans="1:15" ht="16.5" thickBot="1" x14ac:dyDescent="0.35">
      <c r="A167" s="7" t="s">
        <v>116</v>
      </c>
      <c r="B167" s="20">
        <f>0.02</f>
        <v>0.02</v>
      </c>
      <c r="C167" s="20">
        <v>0.3</v>
      </c>
      <c r="D167" s="89">
        <v>50</v>
      </c>
      <c r="G167" s="82"/>
      <c r="H167" s="20">
        <f>0.02</f>
        <v>0.02</v>
      </c>
      <c r="I167" s="20">
        <v>0.3</v>
      </c>
      <c r="J167" s="89">
        <v>50</v>
      </c>
      <c r="K167" s="93"/>
    </row>
    <row r="168" spans="1:15" s="2" customFormat="1" ht="18" customHeight="1" x14ac:dyDescent="0.2">
      <c r="A168" s="3" t="s">
        <v>326</v>
      </c>
      <c r="B168" s="4"/>
      <c r="C168" s="4"/>
      <c r="D168" s="4"/>
      <c r="E168" s="4"/>
      <c r="F168" s="4"/>
      <c r="G168" s="76" t="s">
        <v>405</v>
      </c>
      <c r="H168" s="6"/>
      <c r="I168" s="6"/>
      <c r="J168" s="6"/>
      <c r="K168" s="6"/>
      <c r="L168" s="6"/>
      <c r="M168" s="6"/>
      <c r="N168" s="6"/>
      <c r="O168" s="6"/>
    </row>
    <row r="169" spans="1:15" ht="15.75" thickBot="1" x14ac:dyDescent="0.3">
      <c r="A169" s="5" t="s">
        <v>315</v>
      </c>
      <c r="G169" s="76"/>
    </row>
    <row r="170" spans="1:15" ht="15.75" thickBot="1" x14ac:dyDescent="0.3">
      <c r="A170" s="12" t="s">
        <v>318</v>
      </c>
      <c r="B170" s="8" t="s">
        <v>319</v>
      </c>
      <c r="C170" s="8" t="s">
        <v>325</v>
      </c>
      <c r="G170" s="76"/>
    </row>
    <row r="171" spans="1:15" ht="16.5" thickBot="1" x14ac:dyDescent="0.35">
      <c r="A171" s="42" t="s">
        <v>113</v>
      </c>
      <c r="B171" s="10">
        <f>1+(C171-1)*0.5</f>
        <v>1</v>
      </c>
      <c r="C171" s="10">
        <v>1</v>
      </c>
      <c r="G171" s="76"/>
    </row>
    <row r="172" spans="1:15" ht="16.5" thickBot="1" x14ac:dyDescent="0.35">
      <c r="A172" s="7" t="s">
        <v>96</v>
      </c>
      <c r="B172" s="10">
        <f>1+(1/C171-1)*1</f>
        <v>1</v>
      </c>
      <c r="G172" s="76"/>
    </row>
    <row r="173" spans="1:15" ht="16.5" thickBot="1" x14ac:dyDescent="0.35">
      <c r="A173" s="13" t="s">
        <v>110</v>
      </c>
      <c r="B173" s="10">
        <f>1+(1/C171-1)*1</f>
        <v>1</v>
      </c>
      <c r="G173" s="76"/>
    </row>
    <row r="174" spans="1:15" ht="16.5" thickBot="1" x14ac:dyDescent="0.35">
      <c r="A174" s="13" t="s">
        <v>316</v>
      </c>
      <c r="B174" s="10">
        <f>1+(1/C171-1)*1</f>
        <v>1</v>
      </c>
      <c r="G174" s="76"/>
    </row>
    <row r="175" spans="1:15" ht="16.5" thickBot="1" x14ac:dyDescent="0.35">
      <c r="A175" s="13" t="s">
        <v>317</v>
      </c>
      <c r="B175" s="10">
        <f>1+(1/C171-1)*1</f>
        <v>1</v>
      </c>
      <c r="G175" s="76"/>
    </row>
    <row r="176" spans="1:15" ht="15.75" thickBot="1" x14ac:dyDescent="0.3">
      <c r="A176" s="5" t="s">
        <v>327</v>
      </c>
      <c r="G176" s="76"/>
    </row>
    <row r="177" spans="1:12" ht="15.75" thickBot="1" x14ac:dyDescent="0.3">
      <c r="A177" s="12" t="s">
        <v>330</v>
      </c>
      <c r="B177" s="8" t="s">
        <v>336</v>
      </c>
      <c r="C177" s="8" t="s">
        <v>328</v>
      </c>
      <c r="D177" s="8" t="s">
        <v>329</v>
      </c>
      <c r="E177" s="85" t="s">
        <v>347</v>
      </c>
      <c r="F177" s="56"/>
      <c r="G177" s="77"/>
    </row>
    <row r="178" spans="1:12" ht="18.75" customHeight="1" thickBot="1" x14ac:dyDescent="0.35">
      <c r="A178" s="13" t="s">
        <v>335</v>
      </c>
      <c r="B178" s="10">
        <v>1</v>
      </c>
      <c r="C178" s="10">
        <v>1</v>
      </c>
      <c r="D178" s="10">
        <v>1</v>
      </c>
      <c r="E178" s="86">
        <v>0.01</v>
      </c>
      <c r="F178" s="18"/>
      <c r="G178" s="79"/>
      <c r="H178" s="25"/>
      <c r="K178" s="18"/>
      <c r="L178" s="18"/>
    </row>
    <row r="179" spans="1:12" ht="18.75" customHeight="1" thickBot="1" x14ac:dyDescent="0.35">
      <c r="A179" s="13" t="s">
        <v>334</v>
      </c>
      <c r="B179" s="10">
        <v>0</v>
      </c>
      <c r="C179" s="10">
        <v>0.9</v>
      </c>
      <c r="D179" s="10">
        <v>0.9</v>
      </c>
      <c r="E179" s="86">
        <v>0.01</v>
      </c>
      <c r="F179" s="18"/>
      <c r="G179" s="79"/>
      <c r="H179" s="25"/>
      <c r="K179" s="18"/>
      <c r="L179" s="18"/>
    </row>
    <row r="180" spans="1:12" ht="18.75" customHeight="1" thickBot="1" x14ac:dyDescent="0.35">
      <c r="A180" s="13" t="s">
        <v>333</v>
      </c>
      <c r="B180" s="10">
        <v>0</v>
      </c>
      <c r="C180" s="10">
        <v>0.1</v>
      </c>
      <c r="D180" s="10">
        <v>0.08</v>
      </c>
      <c r="E180" s="86">
        <v>0.01</v>
      </c>
      <c r="F180" s="18"/>
      <c r="G180" s="79"/>
      <c r="H180" s="25"/>
      <c r="K180" s="18"/>
      <c r="L180" s="18"/>
    </row>
    <row r="181" spans="1:12" ht="18.75" customHeight="1" thickBot="1" x14ac:dyDescent="0.35">
      <c r="A181" s="13" t="s">
        <v>332</v>
      </c>
      <c r="B181" s="10">
        <v>0</v>
      </c>
      <c r="C181" s="10">
        <v>0</v>
      </c>
      <c r="D181" s="10">
        <v>0.01</v>
      </c>
      <c r="E181" s="86">
        <v>0.01</v>
      </c>
      <c r="F181" s="18"/>
      <c r="G181" s="79"/>
      <c r="H181" s="25"/>
      <c r="K181" s="18"/>
      <c r="L181" s="18"/>
    </row>
    <row r="182" spans="1:12" ht="18.75" customHeight="1" thickBot="1" x14ac:dyDescent="0.35">
      <c r="A182" s="13" t="s">
        <v>331</v>
      </c>
      <c r="B182" s="10">
        <v>0</v>
      </c>
      <c r="C182" s="10">
        <v>0</v>
      </c>
      <c r="D182" s="10">
        <v>0.01</v>
      </c>
      <c r="E182" s="86">
        <v>0.01</v>
      </c>
      <c r="F182" s="18"/>
      <c r="G182" s="79"/>
      <c r="H182" s="25"/>
      <c r="K182" s="18"/>
      <c r="L182" s="18"/>
    </row>
    <row r="183" spans="1:12" ht="15.75" thickBot="1" x14ac:dyDescent="0.3">
      <c r="A183" s="12" t="s">
        <v>330</v>
      </c>
      <c r="B183" s="85" t="s">
        <v>344</v>
      </c>
      <c r="C183" s="85" t="s">
        <v>345</v>
      </c>
      <c r="D183" s="85" t="s">
        <v>346</v>
      </c>
      <c r="E183" s="85" t="s">
        <v>346</v>
      </c>
      <c r="F183" s="56"/>
      <c r="G183" s="77"/>
    </row>
    <row r="184" spans="1:12" ht="18.75" customHeight="1" thickBot="1" x14ac:dyDescent="0.35">
      <c r="A184" s="13" t="s">
        <v>335</v>
      </c>
      <c r="B184" s="86">
        <v>1</v>
      </c>
      <c r="C184" s="86">
        <v>1</v>
      </c>
      <c r="D184" s="86">
        <v>0</v>
      </c>
      <c r="E184" s="86">
        <v>0</v>
      </c>
      <c r="F184" s="18"/>
      <c r="G184" s="79"/>
      <c r="H184" s="25"/>
      <c r="K184" s="18"/>
      <c r="L184" s="18"/>
    </row>
    <row r="185" spans="1:12" ht="18.75" customHeight="1" thickBot="1" x14ac:dyDescent="0.35">
      <c r="A185" s="13" t="s">
        <v>334</v>
      </c>
      <c r="B185" s="86">
        <v>1</v>
      </c>
      <c r="C185" s="86">
        <v>1</v>
      </c>
      <c r="D185" s="86">
        <v>0</v>
      </c>
      <c r="E185" s="86">
        <v>0</v>
      </c>
      <c r="F185" s="18"/>
      <c r="G185" s="79"/>
      <c r="H185" s="25"/>
      <c r="K185" s="18"/>
      <c r="L185" s="18"/>
    </row>
    <row r="186" spans="1:12" ht="18.75" customHeight="1" thickBot="1" x14ac:dyDescent="0.35">
      <c r="A186" s="13" t="s">
        <v>333</v>
      </c>
      <c r="B186" s="86">
        <v>100</v>
      </c>
      <c r="C186" s="86">
        <v>100</v>
      </c>
      <c r="D186" s="86">
        <v>0</v>
      </c>
      <c r="E186" s="86">
        <v>0</v>
      </c>
      <c r="F186" s="18"/>
      <c r="G186" s="79"/>
      <c r="H186" s="25"/>
      <c r="K186" s="18"/>
      <c r="L186" s="18"/>
    </row>
    <row r="187" spans="1:12" ht="18.75" customHeight="1" thickBot="1" x14ac:dyDescent="0.35">
      <c r="A187" s="13" t="s">
        <v>332</v>
      </c>
      <c r="B187" s="86">
        <v>0.1</v>
      </c>
      <c r="C187" s="86">
        <v>1</v>
      </c>
      <c r="D187" s="86">
        <v>0</v>
      </c>
      <c r="E187" s="86">
        <v>0</v>
      </c>
      <c r="F187" s="18"/>
      <c r="G187" s="79"/>
      <c r="H187" s="25"/>
      <c r="K187" s="18"/>
      <c r="L187" s="18"/>
    </row>
    <row r="188" spans="1:12" ht="18.75" customHeight="1" thickBot="1" x14ac:dyDescent="0.35">
      <c r="A188" s="13" t="s">
        <v>331</v>
      </c>
      <c r="B188" s="86">
        <v>0.1</v>
      </c>
      <c r="C188" s="86">
        <v>1</v>
      </c>
      <c r="D188" s="86">
        <v>0</v>
      </c>
      <c r="E188" s="86">
        <v>0</v>
      </c>
      <c r="F188" s="18"/>
      <c r="G188" s="79"/>
      <c r="H188" s="25"/>
      <c r="K188" s="18"/>
      <c r="L188" s="18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tabSelected="1" topLeftCell="A21" zoomScaleNormal="100" workbookViewId="0">
      <selection activeCell="C46" sqref="C46"/>
    </sheetView>
  </sheetViews>
  <sheetFormatPr defaultRowHeight="15" x14ac:dyDescent="0.25"/>
  <cols>
    <col min="1" max="1" width="21.710937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4" x14ac:dyDescent="0.25">
      <c r="A1" s="97" t="s">
        <v>56</v>
      </c>
      <c r="B1" s="98">
        <v>0</v>
      </c>
      <c r="C1" s="99" t="s">
        <v>58</v>
      </c>
      <c r="D1" s="98" t="s">
        <v>232</v>
      </c>
    </row>
    <row r="2" spans="1:4" x14ac:dyDescent="0.25">
      <c r="A2" s="100" t="s">
        <v>24</v>
      </c>
      <c r="B2" s="101">
        <v>1</v>
      </c>
      <c r="C2" s="100" t="s">
        <v>25</v>
      </c>
      <c r="D2" s="101">
        <v>1</v>
      </c>
    </row>
    <row r="3" spans="1:4" x14ac:dyDescent="0.25">
      <c r="A3" s="100" t="s">
        <v>183</v>
      </c>
      <c r="B3" s="101">
        <v>1</v>
      </c>
      <c r="C3" s="100" t="s">
        <v>70</v>
      </c>
      <c r="D3" s="101">
        <v>1</v>
      </c>
    </row>
    <row r="4" spans="1:4" x14ac:dyDescent="0.25">
      <c r="A4" s="100" t="s">
        <v>26</v>
      </c>
      <c r="B4" s="101">
        <v>1</v>
      </c>
      <c r="C4" s="100" t="s">
        <v>27</v>
      </c>
      <c r="D4" s="101">
        <v>1</v>
      </c>
    </row>
    <row r="5" spans="1:4" x14ac:dyDescent="0.25">
      <c r="A5" s="100" t="s">
        <v>312</v>
      </c>
      <c r="B5" s="101">
        <v>1</v>
      </c>
      <c r="C5" s="100" t="s">
        <v>313</v>
      </c>
      <c r="D5" s="101">
        <v>1</v>
      </c>
    </row>
    <row r="6" spans="1:4" x14ac:dyDescent="0.25">
      <c r="A6" s="100" t="s">
        <v>28</v>
      </c>
      <c r="B6" s="101">
        <v>1</v>
      </c>
      <c r="C6" s="100" t="s">
        <v>29</v>
      </c>
      <c r="D6" s="101">
        <v>1</v>
      </c>
    </row>
    <row r="7" spans="1:4" x14ac:dyDescent="0.25">
      <c r="A7" s="100" t="s">
        <v>195</v>
      </c>
      <c r="B7" s="101">
        <v>0</v>
      </c>
      <c r="C7" s="100" t="s">
        <v>196</v>
      </c>
      <c r="D7" s="101">
        <v>0</v>
      </c>
    </row>
    <row r="8" spans="1:4" x14ac:dyDescent="0.25">
      <c r="A8" s="100" t="s">
        <v>306</v>
      </c>
      <c r="B8" s="101">
        <v>0</v>
      </c>
      <c r="C8" s="100" t="s">
        <v>307</v>
      </c>
      <c r="D8" s="101">
        <v>0</v>
      </c>
    </row>
    <row r="9" spans="1:4" x14ac:dyDescent="0.25">
      <c r="A9" s="100" t="s">
        <v>63</v>
      </c>
      <c r="B9" s="101">
        <v>0</v>
      </c>
      <c r="C9" s="100" t="s">
        <v>311</v>
      </c>
      <c r="D9" s="101">
        <v>0</v>
      </c>
    </row>
    <row r="10" spans="1:4" ht="15.75" customHeight="1" x14ac:dyDescent="0.25">
      <c r="A10" s="100" t="s">
        <v>32</v>
      </c>
      <c r="B10" s="101">
        <v>1</v>
      </c>
      <c r="C10" s="100" t="s">
        <v>210</v>
      </c>
      <c r="D10" s="101">
        <v>2</v>
      </c>
    </row>
    <row r="11" spans="1:4" x14ac:dyDescent="0.25">
      <c r="A11" s="100" t="s">
        <v>45</v>
      </c>
      <c r="B11" s="101">
        <v>1</v>
      </c>
      <c r="C11" s="100" t="s">
        <v>46</v>
      </c>
      <c r="D11" s="101">
        <v>1</v>
      </c>
    </row>
    <row r="12" spans="1:4" x14ac:dyDescent="0.25">
      <c r="A12" s="100" t="s">
        <v>65</v>
      </c>
      <c r="B12" s="101">
        <v>1</v>
      </c>
      <c r="C12" s="100" t="s">
        <v>66</v>
      </c>
      <c r="D12" s="101">
        <v>1</v>
      </c>
    </row>
    <row r="13" spans="1:4" x14ac:dyDescent="0.25">
      <c r="A13" s="100" t="s">
        <v>30</v>
      </c>
      <c r="B13" s="101">
        <v>0</v>
      </c>
      <c r="C13" s="100" t="s">
        <v>31</v>
      </c>
      <c r="D13" s="101">
        <v>0</v>
      </c>
    </row>
    <row r="14" spans="1:4" x14ac:dyDescent="0.25">
      <c r="A14" s="97" t="s">
        <v>55</v>
      </c>
      <c r="B14" s="98"/>
      <c r="C14" s="99"/>
      <c r="D14" s="98"/>
    </row>
    <row r="15" spans="1:4" ht="16.5" customHeight="1" x14ac:dyDescent="0.25">
      <c r="A15" s="100" t="s">
        <v>33</v>
      </c>
      <c r="B15" s="101">
        <v>2</v>
      </c>
      <c r="C15" s="100" t="s">
        <v>356</v>
      </c>
      <c r="D15" s="101">
        <v>2</v>
      </c>
    </row>
    <row r="16" spans="1:4" x14ac:dyDescent="0.25">
      <c r="A16" s="100" t="s">
        <v>34</v>
      </c>
      <c r="B16" s="101">
        <v>0</v>
      </c>
      <c r="C16" s="100" t="s">
        <v>73</v>
      </c>
      <c r="D16" s="101">
        <v>0</v>
      </c>
    </row>
    <row r="17" spans="1:4" x14ac:dyDescent="0.25">
      <c r="A17" s="100" t="s">
        <v>47</v>
      </c>
      <c r="B17" s="101">
        <v>1</v>
      </c>
      <c r="C17" s="100" t="s">
        <v>231</v>
      </c>
      <c r="D17" s="101">
        <v>1</v>
      </c>
    </row>
    <row r="18" spans="1:4" ht="16.5" customHeight="1" x14ac:dyDescent="0.25">
      <c r="A18" s="100" t="s">
        <v>355</v>
      </c>
      <c r="B18" s="101">
        <v>3</v>
      </c>
      <c r="C18" s="100" t="s">
        <v>364</v>
      </c>
      <c r="D18" s="101">
        <v>2</v>
      </c>
    </row>
    <row r="19" spans="1:4" x14ac:dyDescent="0.25">
      <c r="A19" s="100" t="s">
        <v>48</v>
      </c>
      <c r="B19" s="101">
        <v>2</v>
      </c>
      <c r="C19" s="100" t="s">
        <v>49</v>
      </c>
      <c r="D19" s="101">
        <v>2</v>
      </c>
    </row>
    <row r="20" spans="1:4" x14ac:dyDescent="0.25">
      <c r="A20" s="100" t="s">
        <v>67</v>
      </c>
      <c r="B20" s="101">
        <v>1</v>
      </c>
      <c r="C20" s="100" t="s">
        <v>186</v>
      </c>
      <c r="D20" s="101">
        <v>1</v>
      </c>
    </row>
    <row r="21" spans="1:4" x14ac:dyDescent="0.25">
      <c r="A21" s="97" t="s">
        <v>129</v>
      </c>
      <c r="B21" s="98"/>
      <c r="C21" s="99"/>
      <c r="D21" s="98"/>
    </row>
    <row r="22" spans="1:4" ht="16.5" customHeight="1" x14ac:dyDescent="0.25">
      <c r="A22" s="100" t="s">
        <v>35</v>
      </c>
      <c r="B22" s="101">
        <v>2</v>
      </c>
      <c r="C22" s="100" t="s">
        <v>272</v>
      </c>
      <c r="D22" s="101">
        <v>1</v>
      </c>
    </row>
    <row r="23" spans="1:4" x14ac:dyDescent="0.25">
      <c r="A23" s="100" t="s">
        <v>38</v>
      </c>
      <c r="B23" s="101">
        <v>1</v>
      </c>
      <c r="C23" s="100" t="s">
        <v>39</v>
      </c>
      <c r="D23" s="101">
        <v>1</v>
      </c>
    </row>
    <row r="24" spans="1:4" x14ac:dyDescent="0.25">
      <c r="A24" s="100" t="s">
        <v>40</v>
      </c>
      <c r="B24" s="101">
        <v>1</v>
      </c>
      <c r="C24" s="100" t="s">
        <v>139</v>
      </c>
      <c r="D24" s="101">
        <v>1</v>
      </c>
    </row>
    <row r="25" spans="1:4" x14ac:dyDescent="0.25">
      <c r="A25" s="100" t="s">
        <v>130</v>
      </c>
      <c r="B25" s="101">
        <v>2</v>
      </c>
      <c r="C25" s="100" t="s">
        <v>408</v>
      </c>
      <c r="D25" s="101">
        <v>1</v>
      </c>
    </row>
    <row r="26" spans="1:4" x14ac:dyDescent="0.25">
      <c r="A26" s="100" t="s">
        <v>204</v>
      </c>
      <c r="B26" s="101">
        <v>1</v>
      </c>
      <c r="C26" s="100" t="s">
        <v>205</v>
      </c>
      <c r="D26" s="101">
        <v>1</v>
      </c>
    </row>
    <row r="27" spans="1:4" x14ac:dyDescent="0.25">
      <c r="A27" s="97" t="s">
        <v>57</v>
      </c>
      <c r="B27" s="98"/>
      <c r="C27" s="99"/>
      <c r="D27" s="98"/>
    </row>
    <row r="28" spans="1:4" ht="17.25" customHeight="1" x14ac:dyDescent="0.25">
      <c r="A28" s="100" t="s">
        <v>273</v>
      </c>
      <c r="B28" s="101">
        <v>1</v>
      </c>
      <c r="C28" s="100" t="s">
        <v>275</v>
      </c>
      <c r="D28" s="101">
        <v>1</v>
      </c>
    </row>
    <row r="29" spans="1:4" ht="15.75" customHeight="1" x14ac:dyDescent="0.25">
      <c r="A29" s="100" t="s">
        <v>274</v>
      </c>
      <c r="B29" s="101">
        <v>0</v>
      </c>
      <c r="C29" s="100" t="s">
        <v>276</v>
      </c>
      <c r="D29" s="101">
        <v>1</v>
      </c>
    </row>
    <row r="30" spans="1:4" x14ac:dyDescent="0.25">
      <c r="A30" s="100" t="s">
        <v>50</v>
      </c>
      <c r="B30" s="101">
        <v>0</v>
      </c>
      <c r="C30" s="100" t="s">
        <v>53</v>
      </c>
      <c r="D30" s="101">
        <v>1</v>
      </c>
    </row>
    <row r="31" spans="1:4" x14ac:dyDescent="0.25">
      <c r="A31" s="100" t="s">
        <v>51</v>
      </c>
      <c r="B31" s="101">
        <v>1</v>
      </c>
      <c r="C31" s="100" t="s">
        <v>54</v>
      </c>
      <c r="D31" s="101">
        <v>1</v>
      </c>
    </row>
    <row r="32" spans="1:4" x14ac:dyDescent="0.25">
      <c r="A32" s="100" t="s">
        <v>72</v>
      </c>
      <c r="B32" s="101">
        <v>1</v>
      </c>
      <c r="C32" s="100" t="s">
        <v>71</v>
      </c>
      <c r="D32" s="101">
        <v>1</v>
      </c>
    </row>
    <row r="33" spans="1:4" x14ac:dyDescent="0.25">
      <c r="A33" s="100" t="s">
        <v>52</v>
      </c>
      <c r="B33" s="101">
        <v>1</v>
      </c>
      <c r="C33" s="100" t="s">
        <v>268</v>
      </c>
      <c r="D33" s="101">
        <v>1</v>
      </c>
    </row>
    <row r="34" spans="1:4" x14ac:dyDescent="0.25">
      <c r="A34" s="100" t="s">
        <v>41</v>
      </c>
      <c r="B34" s="101">
        <v>1</v>
      </c>
      <c r="C34" s="100" t="s">
        <v>395</v>
      </c>
      <c r="D34" s="101">
        <v>0</v>
      </c>
    </row>
    <row r="35" spans="1:4" x14ac:dyDescent="0.25">
      <c r="A35" s="100" t="s">
        <v>390</v>
      </c>
      <c r="B35" s="101">
        <v>0</v>
      </c>
      <c r="C35" s="100" t="s">
        <v>396</v>
      </c>
      <c r="D35" s="101">
        <v>0</v>
      </c>
    </row>
    <row r="36" spans="1:4" x14ac:dyDescent="0.25">
      <c r="A36" s="100" t="s">
        <v>42</v>
      </c>
      <c r="B36" s="101">
        <v>0</v>
      </c>
      <c r="C36" s="100" t="s">
        <v>324</v>
      </c>
      <c r="D36" s="101">
        <v>0</v>
      </c>
    </row>
    <row r="37" spans="1:4" x14ac:dyDescent="0.25">
      <c r="A37" s="100" t="s">
        <v>43</v>
      </c>
      <c r="B37" s="101">
        <v>1</v>
      </c>
      <c r="C37" s="100" t="s">
        <v>323</v>
      </c>
      <c r="D37" s="101">
        <v>1</v>
      </c>
    </row>
    <row r="38" spans="1:4" x14ac:dyDescent="0.25">
      <c r="A38" s="100" t="s">
        <v>199</v>
      </c>
      <c r="B38" s="101">
        <v>0</v>
      </c>
      <c r="C38" s="100" t="s">
        <v>269</v>
      </c>
      <c r="D38" s="101">
        <v>0</v>
      </c>
    </row>
    <row r="39" spans="1:4" ht="18.75" customHeight="1" x14ac:dyDescent="0.25">
      <c r="A39" s="97" t="s">
        <v>59</v>
      </c>
      <c r="B39" s="98"/>
      <c r="C39" s="99"/>
      <c r="D39" s="98"/>
    </row>
    <row r="40" spans="1:4" ht="16.5" customHeight="1" x14ac:dyDescent="0.25">
      <c r="A40" s="100" t="s">
        <v>36</v>
      </c>
      <c r="B40" s="101">
        <v>2</v>
      </c>
      <c r="C40" s="100" t="s">
        <v>310</v>
      </c>
      <c r="D40" s="101">
        <v>2</v>
      </c>
    </row>
    <row r="41" spans="1:4" x14ac:dyDescent="0.25">
      <c r="A41" s="100" t="s">
        <v>37</v>
      </c>
      <c r="B41" s="101">
        <v>0</v>
      </c>
      <c r="C41" s="100" t="s">
        <v>228</v>
      </c>
      <c r="D41" s="101">
        <v>1</v>
      </c>
    </row>
    <row r="42" spans="1:4" ht="18.75" customHeight="1" x14ac:dyDescent="0.25">
      <c r="A42" s="97" t="s">
        <v>211</v>
      </c>
      <c r="B42" s="98"/>
      <c r="C42" s="99"/>
      <c r="D42" s="98"/>
    </row>
    <row r="43" spans="1:4" ht="16.5" customHeight="1" x14ac:dyDescent="0.25">
      <c r="A43" s="100" t="s">
        <v>212</v>
      </c>
      <c r="B43" s="101">
        <v>0</v>
      </c>
      <c r="C43" s="100" t="s">
        <v>407</v>
      </c>
      <c r="D43" s="101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17" workbookViewId="0">
      <selection activeCell="C9" sqref="C9"/>
    </sheetView>
  </sheetViews>
  <sheetFormatPr defaultRowHeight="15" x14ac:dyDescent="0.25"/>
  <cols>
    <col min="1" max="1" width="30.28515625" bestFit="1" customWidth="1"/>
    <col min="3" max="3" width="89.5703125" style="22" customWidth="1"/>
  </cols>
  <sheetData>
    <row r="1" spans="1:5" x14ac:dyDescent="0.25">
      <c r="A1" s="102" t="s">
        <v>180</v>
      </c>
      <c r="B1" s="103">
        <v>0</v>
      </c>
      <c r="C1" s="104" t="s">
        <v>58</v>
      </c>
      <c r="D1" t="s">
        <v>424</v>
      </c>
    </row>
    <row r="2" spans="1:5" x14ac:dyDescent="0.25">
      <c r="A2" s="105" t="s">
        <v>154</v>
      </c>
      <c r="B2" s="105" t="s">
        <v>15</v>
      </c>
      <c r="C2" s="106" t="s">
        <v>148</v>
      </c>
    </row>
    <row r="3" spans="1:5" x14ac:dyDescent="0.25">
      <c r="A3" s="107" t="s">
        <v>184</v>
      </c>
      <c r="B3" s="108">
        <v>6</v>
      </c>
      <c r="C3" s="109" t="s">
        <v>149</v>
      </c>
      <c r="D3" s="90"/>
      <c r="E3" s="1"/>
    </row>
    <row r="4" spans="1:5" x14ac:dyDescent="0.25">
      <c r="A4" s="107" t="s">
        <v>143</v>
      </c>
      <c r="B4" s="108">
        <v>18</v>
      </c>
      <c r="C4" s="109" t="s">
        <v>150</v>
      </c>
      <c r="D4" s="90"/>
      <c r="E4" s="1"/>
    </row>
    <row r="5" spans="1:5" x14ac:dyDescent="0.25">
      <c r="A5" s="107" t="s">
        <v>142</v>
      </c>
      <c r="B5" s="108">
        <v>0.45</v>
      </c>
      <c r="C5" s="109" t="s">
        <v>173</v>
      </c>
      <c r="D5" s="90"/>
      <c r="E5" s="1"/>
    </row>
    <row r="6" spans="1:5" x14ac:dyDescent="0.25">
      <c r="A6" s="107" t="s">
        <v>141</v>
      </c>
      <c r="B6" s="108">
        <v>0.5</v>
      </c>
      <c r="C6" s="109" t="s">
        <v>170</v>
      </c>
      <c r="D6" s="90"/>
      <c r="E6" s="1"/>
    </row>
    <row r="7" spans="1:5" x14ac:dyDescent="0.25">
      <c r="A7" s="107" t="s">
        <v>151</v>
      </c>
      <c r="B7" s="108">
        <v>-8</v>
      </c>
      <c r="C7" s="109" t="s">
        <v>146</v>
      </c>
      <c r="D7" s="90">
        <v>-6</v>
      </c>
      <c r="E7" s="1"/>
    </row>
    <row r="8" spans="1:5" x14ac:dyDescent="0.25">
      <c r="A8" s="107" t="s">
        <v>152</v>
      </c>
      <c r="B8" s="108">
        <v>-2</v>
      </c>
      <c r="C8" s="109" t="s">
        <v>147</v>
      </c>
      <c r="D8" s="90">
        <v>-1</v>
      </c>
      <c r="E8" s="1"/>
    </row>
    <row r="9" spans="1:5" x14ac:dyDescent="0.25">
      <c r="A9" s="107" t="s">
        <v>172</v>
      </c>
      <c r="B9" s="108">
        <v>0.2</v>
      </c>
      <c r="C9" s="109" t="s">
        <v>177</v>
      </c>
      <c r="D9" s="90">
        <v>0.1</v>
      </c>
      <c r="E9" s="1"/>
    </row>
    <row r="10" spans="1:5" x14ac:dyDescent="0.25">
      <c r="A10" s="107" t="s">
        <v>153</v>
      </c>
      <c r="B10" s="108">
        <v>95</v>
      </c>
      <c r="C10" s="109" t="s">
        <v>399</v>
      </c>
      <c r="D10" s="90">
        <v>99</v>
      </c>
      <c r="E10" s="1"/>
    </row>
    <row r="11" spans="1:5" x14ac:dyDescent="0.25">
      <c r="A11" s="107" t="s">
        <v>140</v>
      </c>
      <c r="B11" s="108">
        <v>0.2</v>
      </c>
      <c r="C11" s="109" t="s">
        <v>175</v>
      </c>
      <c r="D11" s="90"/>
      <c r="E11" s="1"/>
    </row>
    <row r="12" spans="1:5" x14ac:dyDescent="0.25">
      <c r="A12" s="107" t="s">
        <v>144</v>
      </c>
      <c r="B12" s="108">
        <v>10</v>
      </c>
      <c r="C12" s="109" t="s">
        <v>187</v>
      </c>
      <c r="D12" s="90"/>
      <c r="E12" s="1"/>
    </row>
    <row r="13" spans="1:5" x14ac:dyDescent="0.25">
      <c r="A13" s="107" t="s">
        <v>145</v>
      </c>
      <c r="B13" s="108">
        <v>0.2</v>
      </c>
      <c r="C13" s="109" t="s">
        <v>176</v>
      </c>
      <c r="D13" s="90"/>
      <c r="E13" s="1"/>
    </row>
    <row r="14" spans="1:5" x14ac:dyDescent="0.25">
      <c r="A14" s="107" t="s">
        <v>349</v>
      </c>
      <c r="B14" s="108">
        <v>1</v>
      </c>
      <c r="C14" s="109" t="s">
        <v>393</v>
      </c>
      <c r="D14" s="90"/>
      <c r="E14" s="1"/>
    </row>
    <row r="15" spans="1:5" x14ac:dyDescent="0.25">
      <c r="A15" s="2"/>
      <c r="B15" s="2"/>
      <c r="C15" s="110"/>
    </row>
    <row r="16" spans="1:5" x14ac:dyDescent="0.25">
      <c r="A16" s="105" t="s">
        <v>155</v>
      </c>
      <c r="B16" s="105" t="s">
        <v>15</v>
      </c>
      <c r="C16" s="106" t="s">
        <v>148</v>
      </c>
    </row>
    <row r="17" spans="1:3" x14ac:dyDescent="0.25">
      <c r="A17" s="107" t="s">
        <v>185</v>
      </c>
      <c r="B17" s="108">
        <v>5</v>
      </c>
      <c r="C17" s="111" t="s">
        <v>169</v>
      </c>
    </row>
    <row r="18" spans="1:3" x14ac:dyDescent="0.25">
      <c r="A18" s="107" t="s">
        <v>156</v>
      </c>
      <c r="B18" s="108">
        <v>5</v>
      </c>
      <c r="C18" s="111" t="s">
        <v>168</v>
      </c>
    </row>
    <row r="19" spans="1:3" x14ac:dyDescent="0.25">
      <c r="A19" s="107" t="s">
        <v>157</v>
      </c>
      <c r="B19" s="108">
        <v>14</v>
      </c>
      <c r="C19" s="111" t="s">
        <v>167</v>
      </c>
    </row>
    <row r="20" spans="1:3" x14ac:dyDescent="0.25">
      <c r="A20" s="107" t="s">
        <v>158</v>
      </c>
      <c r="B20" s="108">
        <v>0.5</v>
      </c>
      <c r="C20" s="111" t="s">
        <v>170</v>
      </c>
    </row>
    <row r="21" spans="1:3" x14ac:dyDescent="0.25">
      <c r="A21" s="107" t="s">
        <v>160</v>
      </c>
      <c r="B21" s="108">
        <v>-50</v>
      </c>
      <c r="C21" s="111" t="s">
        <v>166</v>
      </c>
    </row>
    <row r="22" spans="1:3" x14ac:dyDescent="0.25">
      <c r="A22" s="107" t="s">
        <v>161</v>
      </c>
      <c r="B22" s="108">
        <v>-2</v>
      </c>
      <c r="C22" s="111" t="s">
        <v>165</v>
      </c>
    </row>
    <row r="23" spans="1:3" ht="15.75" customHeight="1" x14ac:dyDescent="0.25">
      <c r="A23" s="107" t="s">
        <v>171</v>
      </c>
      <c r="B23" s="108">
        <v>0.1</v>
      </c>
      <c r="C23" s="111" t="s">
        <v>178</v>
      </c>
    </row>
    <row r="24" spans="1:3" x14ac:dyDescent="0.25">
      <c r="A24" s="107" t="s">
        <v>162</v>
      </c>
      <c r="B24" s="108">
        <v>0</v>
      </c>
      <c r="C24" s="111" t="s">
        <v>179</v>
      </c>
    </row>
    <row r="25" spans="1:3" x14ac:dyDescent="0.25">
      <c r="A25" s="107" t="s">
        <v>159</v>
      </c>
      <c r="B25" s="108">
        <v>0.1</v>
      </c>
      <c r="C25" s="111" t="s">
        <v>398</v>
      </c>
    </row>
    <row r="26" spans="1:3" x14ac:dyDescent="0.25">
      <c r="A26" s="107" t="s">
        <v>163</v>
      </c>
      <c r="B26" s="108">
        <v>250</v>
      </c>
      <c r="C26" s="111" t="s">
        <v>188</v>
      </c>
    </row>
    <row r="27" spans="1:3" x14ac:dyDescent="0.25">
      <c r="A27" s="107" t="s">
        <v>164</v>
      </c>
      <c r="B27" s="108">
        <v>0</v>
      </c>
      <c r="C27" s="111" t="s">
        <v>174</v>
      </c>
    </row>
    <row r="28" spans="1:3" x14ac:dyDescent="0.25">
      <c r="A28" s="2"/>
      <c r="B28" s="2"/>
      <c r="C28" s="110"/>
    </row>
    <row r="29" spans="1:3" x14ac:dyDescent="0.25">
      <c r="A29" s="105" t="s">
        <v>194</v>
      </c>
      <c r="B29" s="105" t="s">
        <v>15</v>
      </c>
      <c r="C29" s="106" t="s">
        <v>148</v>
      </c>
    </row>
    <row r="30" spans="1:3" x14ac:dyDescent="0.25">
      <c r="A30" s="107" t="s">
        <v>217</v>
      </c>
      <c r="B30" s="108">
        <v>3</v>
      </c>
      <c r="C30" s="111" t="s">
        <v>198</v>
      </c>
    </row>
    <row r="31" spans="1:3" x14ac:dyDescent="0.25">
      <c r="A31" s="107" t="s">
        <v>216</v>
      </c>
      <c r="B31" s="108"/>
      <c r="C31" s="111" t="s">
        <v>218</v>
      </c>
    </row>
    <row r="32" spans="1:3" x14ac:dyDescent="0.25">
      <c r="A32" s="2"/>
      <c r="B32" s="2"/>
      <c r="C32" s="110"/>
    </row>
    <row r="33" spans="1:5" x14ac:dyDescent="0.25">
      <c r="A33" s="105" t="s">
        <v>200</v>
      </c>
      <c r="B33" s="105" t="s">
        <v>15</v>
      </c>
      <c r="C33" s="106" t="s">
        <v>148</v>
      </c>
    </row>
    <row r="34" spans="1:5" x14ac:dyDescent="0.25">
      <c r="A34" s="107" t="s">
        <v>219</v>
      </c>
      <c r="B34" s="108">
        <f>24*3</f>
        <v>72</v>
      </c>
      <c r="C34" s="111" t="s">
        <v>215</v>
      </c>
    </row>
    <row r="35" spans="1:5" x14ac:dyDescent="0.25">
      <c r="A35" s="107" t="s">
        <v>220</v>
      </c>
      <c r="B35" s="108">
        <v>0</v>
      </c>
      <c r="C35" s="111" t="s">
        <v>206</v>
      </c>
    </row>
    <row r="36" spans="1:5" x14ac:dyDescent="0.25">
      <c r="A36" s="107" t="s">
        <v>221</v>
      </c>
      <c r="B36" s="108">
        <v>11</v>
      </c>
      <c r="C36" s="111" t="s">
        <v>207</v>
      </c>
    </row>
    <row r="37" spans="1:5" x14ac:dyDescent="0.25">
      <c r="A37" s="107" t="s">
        <v>222</v>
      </c>
      <c r="B37" s="108">
        <v>4</v>
      </c>
      <c r="C37" s="111" t="s">
        <v>208</v>
      </c>
    </row>
    <row r="38" spans="1:5" x14ac:dyDescent="0.25">
      <c r="A38" s="107" t="s">
        <v>201</v>
      </c>
      <c r="B38" s="108">
        <v>0</v>
      </c>
      <c r="C38" s="111" t="s">
        <v>209</v>
      </c>
    </row>
    <row r="39" spans="1:5" x14ac:dyDescent="0.25">
      <c r="A39" s="107" t="s">
        <v>223</v>
      </c>
      <c r="B39" s="108">
        <v>0.6</v>
      </c>
      <c r="C39" s="111" t="s">
        <v>224</v>
      </c>
    </row>
    <row r="40" spans="1:5" x14ac:dyDescent="0.25">
      <c r="A40" s="107" t="s">
        <v>270</v>
      </c>
      <c r="B40" s="108">
        <v>0.1</v>
      </c>
      <c r="C40" s="111" t="s">
        <v>271</v>
      </c>
    </row>
    <row r="41" spans="1:5" x14ac:dyDescent="0.25">
      <c r="A41" s="2"/>
      <c r="B41" s="2"/>
      <c r="C41" s="110"/>
    </row>
    <row r="42" spans="1:5" x14ac:dyDescent="0.25">
      <c r="A42" s="105" t="s">
        <v>368</v>
      </c>
      <c r="B42" s="105" t="s">
        <v>15</v>
      </c>
      <c r="C42" s="106" t="s">
        <v>388</v>
      </c>
    </row>
    <row r="43" spans="1:5" x14ac:dyDescent="0.25">
      <c r="A43" s="107" t="s">
        <v>369</v>
      </c>
      <c r="B43" s="108">
        <v>2</v>
      </c>
      <c r="C43" s="109" t="s">
        <v>384</v>
      </c>
      <c r="D43" s="90"/>
      <c r="E43" s="1"/>
    </row>
    <row r="44" spans="1:5" x14ac:dyDescent="0.25">
      <c r="A44" s="107" t="s">
        <v>370</v>
      </c>
      <c r="B44" s="108">
        <v>6</v>
      </c>
      <c r="C44" s="109" t="s">
        <v>394</v>
      </c>
      <c r="D44" s="90"/>
      <c r="E44" s="1"/>
    </row>
    <row r="45" spans="1:5" x14ac:dyDescent="0.25">
      <c r="A45" s="107" t="s">
        <v>371</v>
      </c>
      <c r="B45" s="108">
        <v>2.9</v>
      </c>
      <c r="C45" s="109" t="s">
        <v>392</v>
      </c>
      <c r="D45" s="90"/>
      <c r="E45" s="1"/>
    </row>
    <row r="46" spans="1:5" x14ac:dyDescent="0.25">
      <c r="A46" s="107" t="s">
        <v>372</v>
      </c>
      <c r="B46" s="108">
        <v>0.25</v>
      </c>
      <c r="C46" s="109" t="s">
        <v>170</v>
      </c>
      <c r="D46" s="90"/>
      <c r="E46" s="1"/>
    </row>
    <row r="47" spans="1:5" x14ac:dyDescent="0.25">
      <c r="A47" s="107" t="s">
        <v>373</v>
      </c>
      <c r="B47" s="108">
        <v>-30</v>
      </c>
      <c r="C47" s="109" t="s">
        <v>385</v>
      </c>
      <c r="D47" s="90"/>
      <c r="E47" s="1"/>
    </row>
    <row r="48" spans="1:5" x14ac:dyDescent="0.25">
      <c r="A48" s="107" t="s">
        <v>374</v>
      </c>
      <c r="B48" s="108">
        <v>25</v>
      </c>
      <c r="C48" s="109" t="s">
        <v>400</v>
      </c>
      <c r="D48" s="90"/>
      <c r="E48" s="1"/>
    </row>
    <row r="49" spans="1:5" ht="15.75" customHeight="1" x14ac:dyDescent="0.25">
      <c r="A49" s="107" t="s">
        <v>375</v>
      </c>
      <c r="B49" s="108">
        <v>0.1</v>
      </c>
      <c r="C49" s="109" t="s">
        <v>387</v>
      </c>
      <c r="D49" s="90"/>
      <c r="E49" s="1"/>
    </row>
    <row r="50" spans="1:5" x14ac:dyDescent="0.25">
      <c r="A50" s="107" t="s">
        <v>376</v>
      </c>
      <c r="B50" s="108">
        <v>40</v>
      </c>
      <c r="C50" s="109" t="s">
        <v>397</v>
      </c>
      <c r="D50" s="90"/>
      <c r="E50" s="1"/>
    </row>
    <row r="51" spans="1:5" x14ac:dyDescent="0.25">
      <c r="A51" s="107" t="s">
        <v>377</v>
      </c>
      <c r="B51" s="108">
        <v>0.05</v>
      </c>
      <c r="C51" s="109" t="s">
        <v>391</v>
      </c>
      <c r="D51" s="90"/>
      <c r="E51" s="1"/>
    </row>
    <row r="52" spans="1:5" x14ac:dyDescent="0.25">
      <c r="A52" s="107" t="s">
        <v>378</v>
      </c>
      <c r="B52" s="108">
        <v>5</v>
      </c>
      <c r="C52" s="109" t="s">
        <v>386</v>
      </c>
      <c r="D52" s="90"/>
      <c r="E52" s="1"/>
    </row>
    <row r="53" spans="1:5" x14ac:dyDescent="0.25">
      <c r="A53" s="107" t="s">
        <v>379</v>
      </c>
      <c r="B53" s="108">
        <v>0.2</v>
      </c>
      <c r="C53" s="109" t="s">
        <v>389</v>
      </c>
      <c r="D53" s="90"/>
      <c r="E53" s="1"/>
    </row>
    <row r="54" spans="1:5" x14ac:dyDescent="0.25">
      <c r="A54" s="107" t="s">
        <v>380</v>
      </c>
      <c r="B54" s="108">
        <v>11</v>
      </c>
      <c r="C54" s="111" t="s">
        <v>382</v>
      </c>
    </row>
    <row r="55" spans="1:5" x14ac:dyDescent="0.25">
      <c r="A55" s="107" t="s">
        <v>381</v>
      </c>
      <c r="B55" s="108">
        <v>4</v>
      </c>
      <c r="C55" s="111" t="s">
        <v>383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2023-09-12T08:59:47Z</dcterms:modified>
</cp:coreProperties>
</file>