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\NORTRIP-python\model_parameters\"/>
    </mc:Choice>
  </mc:AlternateContent>
  <xr:revisionPtr revIDLastSave="0" documentId="13_ncr:1_{C03F6EB7-BE25-49A1-B275-CD497729C68F}" xr6:coauthVersionLast="47" xr6:coauthVersionMax="47" xr10:uidLastSave="{00000000-0000-0000-0000-000000000000}"/>
  <bookViews>
    <workbookView xWindow="25695" yWindow="0" windowWidth="26010" windowHeight="20985" activeTab="1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7" i="1" l="1"/>
  <c r="C7" i="1"/>
  <c r="D7" i="1"/>
  <c r="B119" i="1" l="1"/>
  <c r="C101" i="1" l="1"/>
  <c r="D101" i="1" s="1"/>
  <c r="B73" i="1" l="1"/>
  <c r="B72" i="1" s="1"/>
  <c r="C119" i="1"/>
  <c r="E119" i="1" s="1"/>
  <c r="E117" i="1"/>
  <c r="D117" i="1"/>
  <c r="C117" i="1"/>
  <c r="D119" i="1" l="1"/>
  <c r="D73" i="1" l="1"/>
  <c r="D72" i="1" s="1"/>
  <c r="C73" i="1"/>
  <c r="C72" i="1" s="1"/>
  <c r="B138" i="1"/>
  <c r="D138" i="1" s="1"/>
  <c r="C138" i="1" l="1"/>
  <c r="D66" i="1" l="1"/>
  <c r="C66" i="1"/>
  <c r="B66" i="1"/>
  <c r="E101" i="1"/>
  <c r="D48" i="1" l="1"/>
  <c r="C48" i="1"/>
  <c r="B48" i="1"/>
  <c r="B47" i="1" s="1"/>
  <c r="D141" i="1" l="1"/>
  <c r="C141" i="1"/>
  <c r="C108" i="1" l="1"/>
  <c r="C106" i="1"/>
  <c r="C105" i="1"/>
  <c r="E103" i="1"/>
  <c r="E102" i="1"/>
  <c r="D98" i="1"/>
  <c r="E98" i="1" s="1"/>
  <c r="H138" i="1"/>
  <c r="J138" i="1" s="1"/>
  <c r="E105" i="1" l="1"/>
  <c r="E106" i="1"/>
  <c r="D105" i="1"/>
  <c r="D106" i="1"/>
  <c r="I138" i="1"/>
  <c r="H167" i="1"/>
  <c r="J36" i="1" l="1"/>
  <c r="J33" i="1"/>
  <c r="B163" i="1" l="1"/>
  <c r="B7" i="1" l="1"/>
  <c r="E120" i="1" l="1"/>
  <c r="D120" i="1"/>
  <c r="C120" i="1"/>
  <c r="B173" i="1" l="1"/>
  <c r="B174" i="1" l="1"/>
  <c r="M5" i="1" l="1"/>
  <c r="H7" i="1" s="1"/>
  <c r="K7" i="1" s="1"/>
  <c r="L5" i="1"/>
  <c r="C6" i="1"/>
  <c r="C137" i="1" l="1"/>
  <c r="D137" i="1"/>
  <c r="B137" i="1"/>
  <c r="B34" i="3" l="1"/>
  <c r="B177" i="1" l="1"/>
  <c r="B176" i="1"/>
  <c r="B175" i="1"/>
  <c r="D47" i="1" l="1"/>
  <c r="B65" i="1" l="1"/>
  <c r="C65" i="1"/>
  <c r="D65" i="1"/>
  <c r="H159" i="1" l="1"/>
  <c r="H160" i="1" s="1"/>
  <c r="I7" i="1" l="1"/>
  <c r="J7" i="1"/>
  <c r="D6" i="1"/>
  <c r="B6" i="1"/>
  <c r="C47" i="1" l="1"/>
  <c r="B162" i="1" l="1"/>
  <c r="C12" i="1" l="1"/>
  <c r="D12" i="1"/>
  <c r="B12" i="1"/>
  <c r="C18" i="1"/>
  <c r="D18" i="1"/>
  <c r="B18" i="1"/>
</calcChain>
</file>

<file path=xl/sharedStrings.xml><?xml version="1.0" encoding="utf-8"?>
<sst xmlns="http://schemas.openxmlformats.org/spreadsheetml/2006/main" count="561" uniqueCount="443">
  <si>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</si>
  <si>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</si>
  <si>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</si>
  <si>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</si>
  <si>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</si>
  <si>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</si>
  <si>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</si>
  <si>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</si>
  <si>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</si>
  <si>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</si>
  <si>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</si>
  <si>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</si>
  <si>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</si>
  <si>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</si>
  <si>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</si>
  <si>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</si>
  <si>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</si>
  <si>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</si>
  <si>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</si>
  <si>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</si>
  <si>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</si>
  <si>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</si>
  <si>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</si>
  <si>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</si>
  <si>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</si>
  <si>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</si>
  <si>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</si>
  <si>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</si>
  <si>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</si>
  <si>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</si>
  <si>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</si>
  <si>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</si>
  <si>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</si>
  <si>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</si>
  <si>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</si>
  <si>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</si>
  <si>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</si>
  <si>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</si>
  <si>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</si>
  <si>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</si>
  <si>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</si>
  <si>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</si>
  <si>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</si>
  <si>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</si>
  <si>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</si>
  <si>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</si>
  <si>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</si>
  <si>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</si>
  <si>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</si>
  <si>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</si>
  <si>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</si>
  <si>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</si>
  <si>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</si>
  <si>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</si>
  <si>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</si>
  <si>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</si>
  <si>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</si>
  <si>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</si>
  <si>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</si>
  <si>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</si>
  <si>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</si>
  <si>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</si>
  <si>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</si>
  <si>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</si>
  <si>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</si>
  <si>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</si>
  <si>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</si>
  <si>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</si>
  <si>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</si>
  <si>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</si>
  <si>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</si>
  <si>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</si>
  <si>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</si>
  <si>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</si>
  <si>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</si>
  <si>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</si>
  <si>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</si>
  <si>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</si>
  <si>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</si>
  <si>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</si>
  <si>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</si>
  <si>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</si>
  <si>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</si>
  <si>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</si>
  <si>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</si>
  <si>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</si>
  <si>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</si>
  <si>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</si>
  <si>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</si>
  <si>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</si>
  <si>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</si>
  <si>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</si>
  <si>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</si>
  <si>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</si>
  <si>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</si>
  <si>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</si>
  <si>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</si>
  <si>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</si>
  <si>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</si>
  <si>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</si>
  <si>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</si>
  <si>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</si>
  <si>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</si>
  <si>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</si>
  <si>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</si>
  <si>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</si>
  <si>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</si>
  <si>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</si>
  <si>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</si>
  <si>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</si>
  <si>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</si>
  <si>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</si>
  <si>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</si>
  <si>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</si>
  <si>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</si>
  <si>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</si>
  <si>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</si>
  <si>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</si>
  <si>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</si>
  <si>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</si>
  <si>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</si>
  <si>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</si>
  <si>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</si>
  <si>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</si>
  <si>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</si>
  <si>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</si>
  <si>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</si>
  <si>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</si>
  <si>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</si>
  <si>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</si>
  <si>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</si>
  <si>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</si>
  <si>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</si>
  <si>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</si>
  <si>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</si>
  <si>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</si>
  <si>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</si>
  <si>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</si>
  <si>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</si>
  <si>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</si>
  <si>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</si>
  <si>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</si>
  <si>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</si>
  <si>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</si>
  <si>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</si>
  <si>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</si>
  <si>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</si>
  <si>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</si>
  <si>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</si>
  <si>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</si>
  <si>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</si>
  <si>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</si>
  <si>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</si>
  <si>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</si>
  <si>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</si>
  <si>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</si>
  <si>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</si>
  <si>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</si>
  <si>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</si>
  <si>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</si>
  <si>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</si>
  <si>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</si>
  <si>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</si>
  <si>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</si>
  <si>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</si>
  <si>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</si>
  <si>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</si>
  <si>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</si>
  <si>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</si>
  <si>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</si>
  <si>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</si>
  <si>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</si>
  <si>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</si>
  <si>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</si>
  <si>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</si>
  <si>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</si>
  <si>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</si>
  <si>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</si>
  <si>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</si>
  <si>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</si>
  <si>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</si>
  <si>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</si>
  <si>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</si>
  <si>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</si>
  <si>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</si>
  <si>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</si>
  <si>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</si>
  <si>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</si>
  <si>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</si>
  <si>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</si>
  <si>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</si>
  <si>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</si>
  <si>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</si>
  <si>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</si>
  <si>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</si>
  <si>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</si>
  <si>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</si>
  <si>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</si>
  <si>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</si>
  <si>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</si>
  <si>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</si>
  <si>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</si>
  <si>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</si>
  <si>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</si>
  <si>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</si>
  <si>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</si>
  <si>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</si>
  <si>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</si>
  <si>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</si>
  <si>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</si>
  <si>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</si>
  <si>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</si>
  <si>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</si>
  <si>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</si>
  <si>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</si>
  <si>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</si>
  <si>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</si>
  <si>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</si>
  <si>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</si>
  <si>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</si>
  <si>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</si>
  <si>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</si>
  <si>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</si>
  <si>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</si>
  <si>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</si>
  <si>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</si>
  <si>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</si>
  <si>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</si>
  <si>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</si>
  <si>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</si>
  <si>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</si>
  <si>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</si>
  <si>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</si>
  <si>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</si>
  <si>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</si>
  <si>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</si>
  <si>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</si>
  <si>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</si>
  <si>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</si>
  <si>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</si>
  <si>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</si>
  <si>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</si>
  <si>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</si>
  <si>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</si>
  <si>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</si>
  <si>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</si>
  <si>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</si>
  <si>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</si>
  <si>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</si>
  <si>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</si>
  <si>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</si>
  <si>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</si>
  <si>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</si>
  <si>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</si>
  <si>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</si>
  <si>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</si>
  <si>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</si>
  <si>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</si>
  <si>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</si>
  <si>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</si>
  <si>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</si>
  <si>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</si>
  <si>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</si>
  <si>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</si>
  <si>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</si>
  <si>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</si>
  <si>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</si>
  <si>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</si>
  <si>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</si>
  <si>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</si>
  <si>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</si>
  <si>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</si>
  <si>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</si>
  <si>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</si>
  <si>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</si>
  <si>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</si>
  <si>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</si>
  <si>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</si>
  <si>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</si>
  <si>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</si>
  <si>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</si>
  <si>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</si>
  <si>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</si>
  <si>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</si>
  <si>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</si>
  <si>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</si>
  <si>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</si>
  <si>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</si>
  <si>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</si>
  <si>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</si>
  <si>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</si>
  <si>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</si>
  <si>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</si>
  <si>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</si>
  <si>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</si>
  <si>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</si>
  <si>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</si>
  <si>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</si>
  <si>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</si>
  <si>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</si>
  <si>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</si>
  <si>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</si>
  <si>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</si>
  <si>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</si>
  <si>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</si>
  <si>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</si>
  <si>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</si>
  <si>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</si>
  <si>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</si>
  <si>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</si>
  <si>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</si>
  <si>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</si>
  <si>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</si>
  <si>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</si>
  <si>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</si>
  <si>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</si>
  <si>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</si>
  <si>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</si>
  <si>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</si>
  <si>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</si>
  <si>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</si>
  <si>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</si>
  <si>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</si>
  <si>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</si>
  <si>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</si>
  <si>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</si>
  <si>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</si>
  <si>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</si>
  <si>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</si>
  <si>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</si>
  <si>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</si>
  <si>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</si>
  <si>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</si>
  <si>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</si>
  <si>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</si>
  <si>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</si>
  <si>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</si>
  <si>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</si>
  <si>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</si>
  <si>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</si>
  <si>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</si>
  <si>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</si>
  <si>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</si>
  <si>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</si>
  <si>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</si>
  <si>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</si>
  <si>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</si>
  <si>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</si>
  <si>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</si>
  <si>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</si>
  <si>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</si>
  <si>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</si>
  <si>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</si>
  <si>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</si>
  <si>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</si>
  <si>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</si>
  <si>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</si>
  <si>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</si>
  <si>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</si>
  <si>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</si>
  <si>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</si>
  <si>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</si>
  <si>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</si>
  <si>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</si>
  <si>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</si>
  <si>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</si>
  <si>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</si>
  <si>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</si>
  <si>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</si>
  <si>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</si>
  <si>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</si>
  <si>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</si>
  <si>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</si>
  <si>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</si>
  <si>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</si>
  <si>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</si>
  <si>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</si>
  <si>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</si>
  <si>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</si>
  <si>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</si>
  <si>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</si>
  <si>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</si>
  <si>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</si>
  <si>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</si>
  <si>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</si>
  <si>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</si>
  <si>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</si>
  <si>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</si>
  <si>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</si>
  <si>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</si>
  <si>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</si>
  <si>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</si>
  <si>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</si>
  <si>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</si>
  <si>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</si>
  <si>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</si>
  <si>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</si>
  <si>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</si>
  <si>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</si>
  <si>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</si>
  <si>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</si>
  <si>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</si>
  <si>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</si>
  <si>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</si>
  <si>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</si>
  <si>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</si>
  <si>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Use the underlaying subsurface in the energy balance calculations. 1 using air temp, 2 using slab temp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</si>
  <si>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</si>
  <si>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</si>
  <si>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</si>
  <si>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</si>
  <si>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</si>
  <si>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</si>
  <si>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</si>
  <si>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</si>
  <si>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</si>
  <si>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</si>
  <si>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</si>
  <si>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</si>
  <si>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</si>
  <si>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</si>
  <si>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</si>
  <si>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</si>
  <si>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</si>
  <si>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Allows road salt concentrations to influence the surface humidity and melt temperature.</t>
  </si>
  <si>
    <t>1  = energy balance with ice and sub-surface, 0 = none, 2 = as 1 but counts hoar frost as snow, not ice.</t>
  </si>
  <si>
    <t>OSPM parameters</t>
  </si>
  <si>
    <t>f_roof and f_turb</t>
  </si>
  <si>
    <t>use_multiple_save_dates_flag</t>
  </si>
  <si>
    <t>Set to 1 if using multiple saving dates in ther metadata sheet</t>
  </si>
  <si>
    <t>Scaling</t>
  </si>
  <si>
    <t>Includes NORDUST 2 updates for crushing, sus/dir, suspension</t>
  </si>
  <si>
    <t xml:space="preserve">use_stability_flag              </t>
  </si>
  <si>
    <t>Use atmospheric stability in sensible heat fux calculation. Default is 1 (on)</t>
  </si>
  <si>
    <t xml:space="preserve">use_energy_correction_flag      </t>
  </si>
  <si>
    <t>Add correction term to the energy balance, based on the difference between modeled and observed surface temperature.</t>
  </si>
  <si>
    <t>forecast_hour</t>
  </si>
  <si>
    <t>FORECAST</t>
  </si>
  <si>
    <t>Set length of forecast in hours (0 = no forecast)</t>
  </si>
  <si>
    <t>use_observed_temperature_init_flag</t>
  </si>
  <si>
    <t>Explicitly set the initial temperature for the forecast to observed</t>
  </si>
  <si>
    <t xml:space="preserve">forecast_type_flag      </t>
  </si>
  <si>
    <t>1 is normal forecast, 2 is persistence, 3 is bias correction from last obs, 4 is interpolated trend (last two measurements) bias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</si>
</sst>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  <xf numFmtId="0" fontId="2" fillId="10" borderId="0" xfId="2"/>
    <xf numFmtId="0" fontId="31" fillId="0" borderId="9" xfId="0" applyFont="1" applyBorder="1"/>
    <xf numFmtId="0" fontId="31" fillId="0" borderId="9" xfId="0" applyFont="1" applyBorder="1" applyAlignment="1">
      <alignment horizontal="center"/>
    </xf>
    <xf numFmtId="0" fontId="31" fillId="0" borderId="27" xfId="0" applyFont="1" applyBorder="1" applyAlignment="1">
      <alignment wrapText="1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32386</xdr:colOff>
      <xdr:row>7</xdr:row>
      <xdr:rowOff>171450</xdr:rowOff>
    </xdr:from>
    <xdr:to>
      <xdr:col>11</xdr:col>
      <xdr:colOff>230507</xdr:colOff>
      <xdr:row>13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2086" y="1676400"/>
          <a:ext cx="4189096" cy="1156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topLeftCell="A94" zoomScale="130" zoomScaleNormal="130" workbookViewId="0">
      <selection activeCell="E167" sqref="E167"/>
    </sheetView>
  </sheetViews>
  <sheetFormatPr defaultColWidth="8.85546875" defaultRowHeight="15" x14ac:dyDescent="0.25"/>
  <cols>
    <col min="1" max="1" width="41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42578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>
        <v>6</v>
      </c>
      <c r="G1" s="76" t="s">
        <v>281</v>
      </c>
    </row>
    <row r="2" spans="1:17" x14ac:dyDescent="0.25">
      <c r="E2" s="69"/>
      <c r="F2" s="69"/>
      <c r="G2" s="77" t="s">
        <v>431</v>
      </c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404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6</v>
      </c>
      <c r="I5" s="52">
        <v>16</v>
      </c>
      <c r="J5" s="52">
        <v>75</v>
      </c>
      <c r="K5" s="56">
        <v>70</v>
      </c>
      <c r="L5" s="57">
        <f>((2.493 + H5*0.144 - I5* 0.069 - J5*0.017))*K5/70</f>
        <v>0.97799999999999954</v>
      </c>
      <c r="M5" s="57">
        <f>((2.493 + H5*0.144 - I5* 0.069 - J5*0.017)*2.88)*K5/70</f>
        <v>2.8166399999999987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0.36</v>
      </c>
      <c r="D6" s="10">
        <f>5*D7</f>
        <v>0.36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B7/40</f>
        <v>7.1999999999999995E-2</v>
      </c>
      <c r="D7" s="66">
        <f>B7/40</f>
        <v>7.1999999999999995E-2</v>
      </c>
      <c r="E7" s="70"/>
      <c r="F7" s="6"/>
      <c r="G7" s="78"/>
      <c r="H7" s="48">
        <f>M5</f>
        <v>2.8166399999999987</v>
      </c>
      <c r="I7" s="49">
        <f>C7*K7</f>
        <v>7.0415999999999965E-2</v>
      </c>
      <c r="J7" s="49">
        <f>D7*K7</f>
        <v>7.0415999999999965E-2</v>
      </c>
      <c r="K7" s="50">
        <f>H7/B7</f>
        <v>0.97799999999999954</v>
      </c>
      <c r="O7" s="20"/>
      <c r="P7" s="20"/>
      <c r="Q7" s="20"/>
    </row>
    <row r="8" spans="1:17" ht="15" customHeight="1" thickBot="1" x14ac:dyDescent="0.3">
      <c r="A8" s="64" t="s">
        <v>244</v>
      </c>
      <c r="B8" s="41" t="s">
        <v>245</v>
      </c>
      <c r="C8" s="41" t="s">
        <v>246</v>
      </c>
      <c r="D8" s="41" t="s">
        <v>247</v>
      </c>
      <c r="E8" s="41" t="s">
        <v>243</v>
      </c>
      <c r="F8" s="41" t="s">
        <v>357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399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244</v>
      </c>
      <c r="B14" s="41" t="s">
        <v>245</v>
      </c>
      <c r="C14" s="41" t="s">
        <v>246</v>
      </c>
      <c r="D14" s="41" t="s">
        <v>247</v>
      </c>
      <c r="E14" s="41" t="s">
        <v>248</v>
      </c>
      <c r="F14" s="41" t="s">
        <v>358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399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409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410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411</v>
      </c>
      <c r="J19" s="10">
        <v>2.9</v>
      </c>
    </row>
    <row r="20" spans="1:11" ht="15" customHeight="1" thickBot="1" x14ac:dyDescent="0.3">
      <c r="A20" s="64" t="s">
        <v>244</v>
      </c>
      <c r="B20" s="41" t="s">
        <v>245</v>
      </c>
      <c r="C20" s="41" t="s">
        <v>246</v>
      </c>
      <c r="D20" s="41" t="s">
        <v>247</v>
      </c>
      <c r="E20" s="41" t="s">
        <v>260</v>
      </c>
      <c r="F20" s="41" t="s">
        <v>359</v>
      </c>
      <c r="G20" s="79"/>
      <c r="H20" s="9">
        <v>4</v>
      </c>
      <c r="I20" s="10" t="s">
        <v>412</v>
      </c>
      <c r="J20" s="10">
        <v>3.6</v>
      </c>
      <c r="K20" s="30"/>
    </row>
    <row r="21" spans="1:11" ht="15" customHeight="1" thickBot="1" x14ac:dyDescent="0.3">
      <c r="A21" s="64" t="s">
        <v>399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413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414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415</v>
      </c>
      <c r="J23" s="10">
        <v>2.56</v>
      </c>
    </row>
    <row r="24" spans="1:11" ht="16.5" thickBot="1" x14ac:dyDescent="0.35">
      <c r="A24" s="13" t="s">
        <v>91</v>
      </c>
      <c r="B24" s="10">
        <v>5</v>
      </c>
      <c r="C24" s="6"/>
      <c r="D24" s="6"/>
      <c r="E24" s="6"/>
      <c r="F24" s="6"/>
      <c r="G24" s="78">
        <v>5</v>
      </c>
      <c r="H24" s="9">
        <v>8</v>
      </c>
      <c r="I24" s="10" t="s">
        <v>416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417</v>
      </c>
      <c r="J25" s="10">
        <v>2.1</v>
      </c>
    </row>
    <row r="26" spans="1:11" ht="15.75" thickBot="1" x14ac:dyDescent="0.3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418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419</v>
      </c>
      <c r="J27" s="10">
        <v>3.11</v>
      </c>
    </row>
    <row r="28" spans="1:11" ht="15.75" thickBot="1" x14ac:dyDescent="0.3">
      <c r="A28" s="9">
        <v>1</v>
      </c>
      <c r="B28" s="10" t="s">
        <v>412</v>
      </c>
      <c r="C28" s="10">
        <v>3.6</v>
      </c>
      <c r="D28" s="10">
        <v>1</v>
      </c>
      <c r="E28" s="6"/>
      <c r="F28" s="6"/>
      <c r="G28" s="78"/>
      <c r="H28" s="9">
        <v>12</v>
      </c>
      <c r="I28" s="10" t="s">
        <v>420</v>
      </c>
      <c r="J28" s="10">
        <v>3.83</v>
      </c>
    </row>
    <row r="29" spans="1:11" ht="15.75" thickBot="1" x14ac:dyDescent="0.3">
      <c r="A29" s="9">
        <v>2</v>
      </c>
      <c r="B29" s="10" t="s">
        <v>411</v>
      </c>
      <c r="C29" s="10">
        <v>2.9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410</v>
      </c>
      <c r="C30" s="10">
        <v>2.3199999999999998</v>
      </c>
      <c r="D30" s="6"/>
      <c r="E30" s="6"/>
      <c r="F30" s="6"/>
      <c r="G30" s="78"/>
      <c r="H30" s="30" t="s">
        <v>421</v>
      </c>
      <c r="I30" s="20"/>
    </row>
    <row r="31" spans="1:11" ht="15.75" thickBot="1" x14ac:dyDescent="0.3">
      <c r="A31" s="9">
        <v>4</v>
      </c>
      <c r="B31" s="10" t="s">
        <v>409</v>
      </c>
      <c r="C31" s="10">
        <v>1.9</v>
      </c>
      <c r="D31" s="11"/>
      <c r="E31" s="6"/>
      <c r="F31" s="6"/>
      <c r="G31" s="78"/>
      <c r="H31" s="30"/>
      <c r="I31" s="20"/>
    </row>
    <row r="32" spans="1:11" ht="16.5" thickBot="1" x14ac:dyDescent="0.35">
      <c r="A32" s="9">
        <v>5</v>
      </c>
      <c r="B32" s="10" t="s">
        <v>224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225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80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226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212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5.75" thickBot="1" x14ac:dyDescent="0.3">
      <c r="A37" s="9">
        <v>10</v>
      </c>
      <c r="B37" s="10" t="s">
        <v>423</v>
      </c>
      <c r="C37" s="10">
        <v>0.98</v>
      </c>
      <c r="D37" s="6">
        <v>0.98</v>
      </c>
      <c r="E37" s="6"/>
      <c r="F37" s="6"/>
      <c r="G37" s="78"/>
      <c r="H37" s="9">
        <v>5</v>
      </c>
      <c r="I37" s="10" t="s">
        <v>224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225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226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350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8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  <c r="H46" s="115">
        <v>40</v>
      </c>
      <c r="I46" s="6">
        <v>10</v>
      </c>
      <c r="J46" s="6">
        <v>40</v>
      </c>
    </row>
    <row r="47" spans="1:10" ht="15.75" thickBot="1" x14ac:dyDescent="0.3">
      <c r="A47" s="9" t="s">
        <v>1</v>
      </c>
      <c r="B47" s="15">
        <f>$H$46*B48</f>
        <v>1.2E-4</v>
      </c>
      <c r="C47" s="15">
        <f t="shared" ref="C47:D47" si="0">$H$46*C48</f>
        <v>1.2E-4</v>
      </c>
      <c r="D47" s="15">
        <f t="shared" si="0"/>
        <v>1.2E-4</v>
      </c>
      <c r="E47" s="72"/>
      <c r="F47" s="27"/>
      <c r="G47" s="82" t="s">
        <v>401</v>
      </c>
      <c r="H47" s="36" t="s">
        <v>189</v>
      </c>
    </row>
    <row r="48" spans="1:10" ht="18.75" customHeight="1" thickBot="1" x14ac:dyDescent="0.3">
      <c r="A48" s="28" t="s">
        <v>2</v>
      </c>
      <c r="B48" s="15">
        <f>0.0000015*H48</f>
        <v>3.0000000000000001E-6</v>
      </c>
      <c r="C48" s="15">
        <f>0.0000015*H48</f>
        <v>3.0000000000000001E-6</v>
      </c>
      <c r="D48" s="15">
        <f>0.0000015*H48</f>
        <v>3.0000000000000001E-6</v>
      </c>
      <c r="E48" s="73"/>
      <c r="F48" s="27"/>
      <c r="G48" s="83"/>
      <c r="H48" s="53">
        <v>2</v>
      </c>
      <c r="I48" s="6">
        <v>5</v>
      </c>
      <c r="J48" s="6">
        <v>2</v>
      </c>
    </row>
    <row r="49" spans="1:12" ht="15" customHeight="1" thickBot="1" x14ac:dyDescent="0.3">
      <c r="A49" s="64" t="s">
        <v>244</v>
      </c>
      <c r="B49" s="41" t="s">
        <v>245</v>
      </c>
      <c r="C49" s="41" t="s">
        <v>246</v>
      </c>
      <c r="D49" s="41" t="s">
        <v>247</v>
      </c>
      <c r="E49" s="41" t="s">
        <v>261</v>
      </c>
      <c r="F49" s="41" t="s">
        <v>360</v>
      </c>
      <c r="G49" s="79"/>
      <c r="H49" s="34"/>
      <c r="I49" s="29"/>
      <c r="J49" s="29"/>
      <c r="K49" s="30"/>
    </row>
    <row r="50" spans="1:12" ht="15" customHeight="1" thickBot="1" x14ac:dyDescent="0.3">
      <c r="A50" s="64" t="s">
        <v>400</v>
      </c>
      <c r="B50" s="68">
        <v>0</v>
      </c>
      <c r="C50" s="68">
        <v>1</v>
      </c>
      <c r="D50" s="68">
        <v>1</v>
      </c>
      <c r="E50" s="68">
        <v>50</v>
      </c>
      <c r="F50" s="68">
        <v>20</v>
      </c>
      <c r="G50" s="80"/>
      <c r="H50" s="34"/>
      <c r="I50" s="29"/>
      <c r="J50" s="29"/>
      <c r="K50" s="30"/>
    </row>
    <row r="51" spans="1:12" ht="15.75" thickBot="1" x14ac:dyDescent="0.3">
      <c r="A51" s="5" t="s">
        <v>257</v>
      </c>
      <c r="B51" s="6"/>
      <c r="C51" s="6"/>
      <c r="D51" s="6"/>
      <c r="E51" s="6"/>
      <c r="F51" s="6"/>
      <c r="G51" s="78"/>
    </row>
    <row r="52" spans="1:12" ht="15.75" thickBot="1" x14ac:dyDescent="0.3">
      <c r="A52" s="12" t="s">
        <v>256</v>
      </c>
      <c r="B52" s="8" t="s">
        <v>278</v>
      </c>
      <c r="C52" s="8" t="s">
        <v>280</v>
      </c>
      <c r="D52" s="8" t="s">
        <v>279</v>
      </c>
      <c r="E52" s="8" t="s">
        <v>102</v>
      </c>
      <c r="F52" s="58"/>
      <c r="G52" s="79"/>
    </row>
    <row r="53" spans="1:12" ht="18.75" customHeight="1" thickBot="1" x14ac:dyDescent="0.35">
      <c r="A53" s="13" t="s">
        <v>249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250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42" t="s">
        <v>251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44" t="s">
        <v>252</v>
      </c>
      <c r="B56" s="10">
        <v>100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35">
      <c r="A57" s="13" t="s">
        <v>254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35">
      <c r="A58" s="13" t="s">
        <v>255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35">
      <c r="A59" s="13" t="s">
        <v>253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35">
      <c r="A60" s="13" t="s">
        <v>258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35">
      <c r="A61" s="13" t="s">
        <v>259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35">
      <c r="A62" s="13" t="s">
        <v>340</v>
      </c>
      <c r="B62" s="10">
        <v>1</v>
      </c>
      <c r="C62" s="10">
        <v>1</v>
      </c>
      <c r="D62" s="10">
        <v>1</v>
      </c>
      <c r="E62" s="10">
        <v>1</v>
      </c>
      <c r="F62" s="20"/>
      <c r="G62" s="81" t="s">
        <v>341</v>
      </c>
      <c r="H62" s="27"/>
      <c r="K62" s="20"/>
      <c r="L62" s="20"/>
    </row>
    <row r="63" spans="1:12" ht="19.5" customHeight="1" thickBot="1" x14ac:dyDescent="0.3">
      <c r="A63" s="5" t="s">
        <v>297</v>
      </c>
      <c r="B63" s="6"/>
      <c r="C63" s="6"/>
      <c r="D63" s="6"/>
      <c r="E63" s="6"/>
      <c r="F63" s="6"/>
      <c r="G63" s="78"/>
      <c r="K63" s="20"/>
      <c r="L63" s="20"/>
    </row>
    <row r="64" spans="1:12" ht="16.5" thickBot="1" x14ac:dyDescent="0.35">
      <c r="A64" s="7" t="s">
        <v>298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5.75" thickBot="1" x14ac:dyDescent="0.3">
      <c r="A65" s="9" t="s">
        <v>1</v>
      </c>
      <c r="B65" s="16">
        <f>10*B66</f>
        <v>9.9999999999999991E-6</v>
      </c>
      <c r="C65" s="16">
        <f>10*C66</f>
        <v>9.9999999999999991E-6</v>
      </c>
      <c r="D65" s="16">
        <f>10*D66</f>
        <v>9.9999999999999991E-6</v>
      </c>
      <c r="E65" s="6"/>
      <c r="F65" s="6"/>
      <c r="G65" s="78" t="s">
        <v>430</v>
      </c>
      <c r="K65" s="20"/>
      <c r="L65" s="20"/>
    </row>
    <row r="66" spans="1:15" ht="15.75" thickBot="1" x14ac:dyDescent="0.3">
      <c r="A66" s="28" t="s">
        <v>2</v>
      </c>
      <c r="B66" s="17">
        <f>0.000001*$G$66</f>
        <v>9.9999999999999995E-7</v>
      </c>
      <c r="C66" s="17">
        <f>0.000001*$G$66</f>
        <v>9.9999999999999995E-7</v>
      </c>
      <c r="D66" s="17">
        <f>0.000001*$G$66</f>
        <v>9.9999999999999995E-7</v>
      </c>
      <c r="E66" s="6"/>
      <c r="F66" s="6"/>
      <c r="G66" s="78">
        <v>1</v>
      </c>
    </row>
    <row r="67" spans="1:15" ht="15" customHeight="1" thickBot="1" x14ac:dyDescent="0.35">
      <c r="A67" s="41" t="s">
        <v>301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5.75" thickBot="1" x14ac:dyDescent="0.3">
      <c r="A68" s="12" t="s">
        <v>299</v>
      </c>
      <c r="B68" s="8" t="s">
        <v>278</v>
      </c>
      <c r="C68" s="8" t="s">
        <v>280</v>
      </c>
      <c r="D68" s="8" t="s">
        <v>279</v>
      </c>
      <c r="E68" s="8" t="s">
        <v>102</v>
      </c>
      <c r="F68" s="58"/>
      <c r="G68" s="79"/>
    </row>
    <row r="69" spans="1:15" ht="18.75" customHeight="1" thickBot="1" x14ac:dyDescent="0.35">
      <c r="A69" s="13" t="s">
        <v>302</v>
      </c>
      <c r="B69" s="10">
        <v>1</v>
      </c>
      <c r="C69" s="10">
        <v>0</v>
      </c>
      <c r="D69" s="10">
        <v>0</v>
      </c>
      <c r="E69" s="10">
        <v>0</v>
      </c>
      <c r="F69" s="20"/>
      <c r="G69" s="81" t="s">
        <v>319</v>
      </c>
      <c r="H69" s="27"/>
      <c r="K69" s="20"/>
      <c r="L69" s="20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8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 t="s">
        <v>430</v>
      </c>
    </row>
    <row r="72" spans="1:15" ht="15.75" thickBot="1" x14ac:dyDescent="0.3">
      <c r="A72" s="9" t="s">
        <v>1</v>
      </c>
      <c r="B72" s="15">
        <f>1*B73</f>
        <v>1.1999999999999999E-4</v>
      </c>
      <c r="C72" s="15">
        <f>1*C73</f>
        <v>1.1999999999999999E-4</v>
      </c>
      <c r="D72" s="15">
        <f>1*D73</f>
        <v>1.1999999999999999E-4</v>
      </c>
      <c r="E72" s="6"/>
      <c r="F72" s="6"/>
      <c r="G72" s="78">
        <v>0.1</v>
      </c>
    </row>
    <row r="73" spans="1:15" ht="15.75" thickBot="1" x14ac:dyDescent="0.3">
      <c r="A73" s="28" t="s">
        <v>2</v>
      </c>
      <c r="B73" s="15">
        <f>0.0012*G72</f>
        <v>1.1999999999999999E-4</v>
      </c>
      <c r="C73" s="15">
        <f>B73</f>
        <v>1.1999999999999999E-4</v>
      </c>
      <c r="D73" s="15">
        <f>B73</f>
        <v>1.1999999999999999E-4</v>
      </c>
      <c r="E73" s="6"/>
      <c r="F73" s="6"/>
      <c r="G73" s="15">
        <v>9.9999999999999995E-7</v>
      </c>
    </row>
    <row r="74" spans="1:15" ht="15" customHeight="1" thickBot="1" x14ac:dyDescent="0.3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5.75" thickBot="1" x14ac:dyDescent="0.3">
      <c r="A75" s="12" t="s">
        <v>282</v>
      </c>
      <c r="B75" s="8" t="s">
        <v>278</v>
      </c>
      <c r="C75" s="8" t="s">
        <v>280</v>
      </c>
      <c r="D75" s="8" t="s">
        <v>279</v>
      </c>
      <c r="E75" s="8" t="s">
        <v>102</v>
      </c>
      <c r="F75" s="58"/>
      <c r="G75" s="79"/>
    </row>
    <row r="76" spans="1:15" ht="18.75" customHeight="1" thickBot="1" x14ac:dyDescent="0.35">
      <c r="A76" s="13" t="s">
        <v>283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320</v>
      </c>
      <c r="H76" s="27"/>
      <c r="K76" s="20"/>
      <c r="L76" s="20"/>
    </row>
    <row r="77" spans="1:15" ht="15.75" thickBot="1" x14ac:dyDescent="0.3">
      <c r="A77" s="5" t="s">
        <v>286</v>
      </c>
      <c r="B77" s="6"/>
      <c r="C77" s="6"/>
      <c r="D77" s="6"/>
      <c r="E77" s="6"/>
      <c r="F77" s="6"/>
      <c r="G77" s="78"/>
    </row>
    <row r="78" spans="1:15" ht="15.75" thickBot="1" x14ac:dyDescent="0.3">
      <c r="A78" s="12" t="s">
        <v>256</v>
      </c>
      <c r="B78" s="8" t="s">
        <v>303</v>
      </c>
      <c r="C78" s="8" t="s">
        <v>285</v>
      </c>
      <c r="D78" s="6"/>
      <c r="E78" s="6"/>
      <c r="F78" s="6"/>
      <c r="G78" s="78"/>
      <c r="O78"/>
    </row>
    <row r="79" spans="1:15" ht="16.5" thickBot="1" x14ac:dyDescent="0.35">
      <c r="A79" s="13" t="s">
        <v>287</v>
      </c>
      <c r="B79" s="10">
        <v>0</v>
      </c>
      <c r="C79" s="10">
        <v>0</v>
      </c>
      <c r="D79" s="27"/>
      <c r="E79" s="6"/>
      <c r="F79" s="6"/>
      <c r="G79" s="78"/>
      <c r="O79"/>
    </row>
    <row r="80" spans="1:15" ht="16.5" thickBot="1" x14ac:dyDescent="0.35">
      <c r="A80" s="13" t="s">
        <v>288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.5" thickBot="1" x14ac:dyDescent="0.35">
      <c r="A81" s="42" t="s">
        <v>289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.5" thickBot="1" x14ac:dyDescent="0.35">
      <c r="A82" s="44" t="s">
        <v>290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.5" thickBot="1" x14ac:dyDescent="0.35">
      <c r="A83" s="13" t="s">
        <v>291</v>
      </c>
      <c r="B83" s="10">
        <v>0</v>
      </c>
      <c r="C83" s="10">
        <v>0</v>
      </c>
      <c r="D83" s="27"/>
      <c r="E83" s="6"/>
      <c r="F83" s="6"/>
      <c r="G83" s="78"/>
      <c r="O83"/>
    </row>
    <row r="84" spans="1:16" ht="16.5" thickBot="1" x14ac:dyDescent="0.35">
      <c r="A84" s="13" t="s">
        <v>292</v>
      </c>
      <c r="B84" s="10">
        <v>0</v>
      </c>
      <c r="C84" s="10">
        <v>0</v>
      </c>
      <c r="D84" s="27"/>
      <c r="E84" s="6"/>
      <c r="F84" s="6"/>
      <c r="G84" s="78"/>
      <c r="O84"/>
    </row>
    <row r="85" spans="1:16" ht="16.5" thickBot="1" x14ac:dyDescent="0.35">
      <c r="A85" s="13" t="s">
        <v>293</v>
      </c>
      <c r="B85" s="10">
        <v>0</v>
      </c>
      <c r="C85" s="10">
        <v>0</v>
      </c>
      <c r="D85" s="27"/>
      <c r="E85" s="6"/>
      <c r="F85" s="6"/>
      <c r="G85" s="78"/>
    </row>
    <row r="86" spans="1:16" ht="16.5" thickBot="1" x14ac:dyDescent="0.35">
      <c r="A86" s="13" t="s">
        <v>294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.5" thickBot="1" x14ac:dyDescent="0.35">
      <c r="A87" s="13" t="s">
        <v>295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5.75" thickBot="1" x14ac:dyDescent="0.3">
      <c r="A89" s="12" t="s">
        <v>276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.5" thickBot="1" x14ac:dyDescent="0.35">
      <c r="A90" s="13" t="s">
        <v>98</v>
      </c>
      <c r="B90" s="10">
        <v>0.75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.5" thickBot="1" x14ac:dyDescent="0.35">
      <c r="A91" s="13" t="s">
        <v>277</v>
      </c>
      <c r="B91" s="10">
        <v>0.75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.5" thickBot="1" x14ac:dyDescent="0.35">
      <c r="A92" s="13" t="s">
        <v>99</v>
      </c>
      <c r="B92" s="10">
        <v>0.75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.5" thickBot="1" x14ac:dyDescent="0.35">
      <c r="A94" s="13" t="s">
        <v>300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.5" thickBot="1" x14ac:dyDescent="0.35">
      <c r="A95" s="13" t="s">
        <v>275</v>
      </c>
      <c r="B95" s="10">
        <v>0.98</v>
      </c>
      <c r="C95" s="6"/>
      <c r="D95" s="6"/>
      <c r="E95" s="6"/>
      <c r="F95" s="6"/>
      <c r="G95" s="78" t="s">
        <v>296</v>
      </c>
      <c r="I95" s="20"/>
      <c r="J95" s="20"/>
      <c r="K95" s="20"/>
      <c r="P95" s="6"/>
    </row>
    <row r="96" spans="1:16" ht="15" customHeight="1" thickBot="1" x14ac:dyDescent="0.3">
      <c r="A96" s="5" t="s">
        <v>346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3">
      <c r="A97" s="12" t="s">
        <v>256</v>
      </c>
      <c r="B97" s="8" t="s">
        <v>262</v>
      </c>
      <c r="C97" s="8" t="s">
        <v>238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.5" thickBot="1" x14ac:dyDescent="0.35">
      <c r="A98" s="13" t="s">
        <v>233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20"/>
      <c r="G98" s="81"/>
    </row>
    <row r="99" spans="1:15" ht="16.5" thickBot="1" x14ac:dyDescent="0.35">
      <c r="A99" s="13" t="s">
        <v>234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 t="s">
        <v>430</v>
      </c>
      <c r="L99" s="20"/>
      <c r="M99" s="20"/>
    </row>
    <row r="100" spans="1:15" ht="16.5" thickBot="1" x14ac:dyDescent="0.35">
      <c r="A100" s="42" t="s">
        <v>235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.5" thickBot="1" x14ac:dyDescent="0.35">
      <c r="A101" s="44" t="s">
        <v>236</v>
      </c>
      <c r="B101" s="10">
        <v>1</v>
      </c>
      <c r="C101" s="10">
        <f>0.05*G101</f>
        <v>2.5000000000000001E-2</v>
      </c>
      <c r="D101" s="114">
        <f>C101*0.16</f>
        <v>4.0000000000000001E-3</v>
      </c>
      <c r="E101" s="10">
        <f>C101*0.04</f>
        <v>1E-3</v>
      </c>
      <c r="F101" s="20"/>
      <c r="G101" s="81">
        <v>0.5</v>
      </c>
      <c r="L101" s="20"/>
      <c r="M101" s="20"/>
    </row>
    <row r="102" spans="1:15" ht="16.5" thickBot="1" x14ac:dyDescent="0.35">
      <c r="A102" s="13" t="s">
        <v>241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35">
      <c r="A103" s="13" t="s">
        <v>242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20"/>
      <c r="G103" s="81"/>
      <c r="I103" s="58"/>
      <c r="J103" s="58"/>
      <c r="K103" s="58"/>
      <c r="L103" s="58"/>
      <c r="M103" s="20"/>
      <c r="O103"/>
    </row>
    <row r="104" spans="1:15" ht="16.5" thickBot="1" x14ac:dyDescent="0.35">
      <c r="A104" s="13" t="s">
        <v>237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.5" thickBot="1" x14ac:dyDescent="0.35">
      <c r="A105" s="13" t="s">
        <v>239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20"/>
      <c r="G105" s="81"/>
      <c r="H105" s="20"/>
      <c r="I105" s="20"/>
      <c r="J105" s="20"/>
      <c r="K105" s="20"/>
      <c r="L105" s="20"/>
      <c r="O105"/>
    </row>
    <row r="106" spans="1:15" ht="16.5" thickBot="1" x14ac:dyDescent="0.35">
      <c r="A106" s="13" t="s">
        <v>240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.5" thickBot="1" x14ac:dyDescent="0.35">
      <c r="A107" s="13" t="s">
        <v>306</v>
      </c>
      <c r="B107" s="10">
        <v>1</v>
      </c>
      <c r="C107" s="10">
        <v>0.1</v>
      </c>
      <c r="D107" s="10">
        <v>0.02</v>
      </c>
      <c r="E107" s="10">
        <v>3.0000000000000001E-3</v>
      </c>
      <c r="F107" s="20"/>
      <c r="G107" s="78" t="s">
        <v>312</v>
      </c>
      <c r="H107" s="20"/>
      <c r="I107" s="20"/>
      <c r="J107" s="20"/>
      <c r="K107" s="20"/>
      <c r="L107" s="20"/>
      <c r="M107" s="20"/>
      <c r="O107"/>
    </row>
    <row r="108" spans="1:15" ht="16.5" thickBot="1" x14ac:dyDescent="0.35">
      <c r="A108" s="13" t="s">
        <v>307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20"/>
      <c r="G108" s="78" t="s">
        <v>318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3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.5" thickBot="1" x14ac:dyDescent="0.35">
      <c r="A110" s="41" t="s">
        <v>119</v>
      </c>
      <c r="B110" s="10">
        <v>0</v>
      </c>
      <c r="D110" s="20"/>
      <c r="E110" s="6"/>
      <c r="F110" s="6"/>
      <c r="G110" s="93" t="s">
        <v>407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3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9"/>
    </row>
    <row r="116" spans="1:15" ht="15.75" thickBot="1" x14ac:dyDescent="0.3">
      <c r="A116" s="12" t="s">
        <v>263</v>
      </c>
      <c r="B116" s="8" t="s">
        <v>278</v>
      </c>
      <c r="C116" s="8" t="s">
        <v>280</v>
      </c>
      <c r="D116" s="8" t="s">
        <v>279</v>
      </c>
      <c r="E116" s="8" t="s">
        <v>102</v>
      </c>
      <c r="F116" s="58"/>
      <c r="G116" s="81"/>
    </row>
    <row r="117" spans="1:15" ht="16.5" thickBot="1" x14ac:dyDescent="0.35">
      <c r="A117" s="13" t="s">
        <v>105</v>
      </c>
      <c r="B117" s="10">
        <v>0.5</v>
      </c>
      <c r="C117" s="10">
        <f>0.01</f>
        <v>0.01</v>
      </c>
      <c r="D117" s="10">
        <f>C117</f>
        <v>0.01</v>
      </c>
      <c r="E117" s="10">
        <f>C117</f>
        <v>0.01</v>
      </c>
      <c r="F117" s="20"/>
      <c r="G117" s="81"/>
    </row>
    <row r="118" spans="1:15" ht="16.5" thickBot="1" x14ac:dyDescent="0.35">
      <c r="A118" s="13" t="s">
        <v>106</v>
      </c>
      <c r="B118" s="10">
        <v>0.5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.5" thickBot="1" x14ac:dyDescent="0.35">
      <c r="A119" s="13" t="s">
        <v>107</v>
      </c>
      <c r="B119" s="10">
        <f>0.05</f>
        <v>0.05</v>
      </c>
      <c r="C119" s="10">
        <f>B119/10</f>
        <v>5.0000000000000001E-3</v>
      </c>
      <c r="D119" s="10">
        <f>C119</f>
        <v>5.0000000000000001E-3</v>
      </c>
      <c r="E119" s="10">
        <f>C119</f>
        <v>5.0000000000000001E-3</v>
      </c>
      <c r="F119" s="20"/>
      <c r="G119" s="81"/>
      <c r="L119" s="20"/>
      <c r="M119" s="20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5.75" thickBot="1" x14ac:dyDescent="0.3">
      <c r="A121" s="12" t="s">
        <v>264</v>
      </c>
      <c r="B121" s="8" t="s">
        <v>265</v>
      </c>
      <c r="C121" s="8" t="s">
        <v>266</v>
      </c>
      <c r="D121" s="74"/>
      <c r="E121" s="75"/>
      <c r="F121" s="58"/>
      <c r="G121" s="81"/>
      <c r="L121" s="20"/>
      <c r="M121" s="20"/>
    </row>
    <row r="122" spans="1:15" ht="16.5" thickBot="1" x14ac:dyDescent="0.35">
      <c r="A122" s="13" t="s">
        <v>105</v>
      </c>
      <c r="B122" s="10">
        <v>0.3</v>
      </c>
      <c r="C122" s="10">
        <v>0.3</v>
      </c>
      <c r="D122" s="11"/>
      <c r="E122" s="20"/>
      <c r="F122" s="20"/>
      <c r="G122" s="81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280</v>
      </c>
      <c r="C127" s="8" t="s">
        <v>279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335</v>
      </c>
      <c r="C136" s="8" t="s">
        <v>336</v>
      </c>
      <c r="D136" s="8" t="s">
        <v>339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337</v>
      </c>
      <c r="B137" s="21">
        <f>6*B138</f>
        <v>1.2011999999999998E-4</v>
      </c>
      <c r="C137" s="21">
        <f>6*C138</f>
        <v>1.2011999999999998E-4</v>
      </c>
      <c r="D137" s="21">
        <f>6*D138</f>
        <v>1.2011999999999998E-5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338</v>
      </c>
      <c r="B138" s="21">
        <f>0.00013*0.154</f>
        <v>2.0019999999999998E-5</v>
      </c>
      <c r="C138" s="21">
        <f>B138</f>
        <v>2.0019999999999998E-5</v>
      </c>
      <c r="D138" s="21">
        <f>B138/10</f>
        <v>2.0019999999999996E-6</v>
      </c>
      <c r="E138" s="6"/>
      <c r="G138" s="78" t="s">
        <v>365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41" t="s">
        <v>228</v>
      </c>
      <c r="B141" s="10">
        <v>3</v>
      </c>
      <c r="C141" s="10">
        <f>B141</f>
        <v>3</v>
      </c>
      <c r="D141" s="10">
        <f>B141</f>
        <v>3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229</v>
      </c>
      <c r="B142" s="10">
        <v>10</v>
      </c>
      <c r="C142" s="10">
        <v>10</v>
      </c>
      <c r="D142" s="10">
        <v>10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3" t="s">
        <v>14</v>
      </c>
      <c r="B144" s="8" t="s">
        <v>364</v>
      </c>
      <c r="C144" s="87" t="s">
        <v>363</v>
      </c>
      <c r="D144" s="6"/>
      <c r="E144" s="6"/>
      <c r="F144" s="6"/>
      <c r="G144" s="78" t="s">
        <v>361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4" t="s">
        <v>113</v>
      </c>
      <c r="B145" s="10">
        <v>0.6</v>
      </c>
      <c r="C145" s="88">
        <v>0.2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349</v>
      </c>
      <c r="K146" s="20"/>
      <c r="L146" s="20"/>
      <c r="M146" s="20"/>
      <c r="N146" s="6"/>
      <c r="O146" s="6"/>
    </row>
    <row r="147" spans="1:15" s="2" customFormat="1" ht="13.5" thickBot="1" x14ac:dyDescent="0.25">
      <c r="A147" s="44" t="s">
        <v>351</v>
      </c>
      <c r="B147" s="10">
        <v>12</v>
      </c>
      <c r="C147" s="6"/>
      <c r="D147" s="6"/>
      <c r="E147" s="6"/>
      <c r="F147" s="6"/>
      <c r="G147" s="78" t="s">
        <v>352</v>
      </c>
      <c r="K147" s="20"/>
      <c r="L147" s="20"/>
      <c r="M147" s="20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335</v>
      </c>
      <c r="C149" s="8" t="s">
        <v>336</v>
      </c>
      <c r="D149" s="8" t="s">
        <v>339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8" t="s">
        <v>348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355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5.75" thickBot="1" x14ac:dyDescent="0.3">
      <c r="A155" s="13" t="s">
        <v>74</v>
      </c>
      <c r="B155" s="10">
        <v>10</v>
      </c>
      <c r="C155" s="6"/>
      <c r="D155" s="6"/>
      <c r="E155" s="6"/>
      <c r="F155" s="6">
        <v>10</v>
      </c>
      <c r="G155" s="78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8" t="s">
        <v>284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8"/>
    </row>
    <row r="158" spans="1:15" ht="15.75" thickBot="1" x14ac:dyDescent="0.3">
      <c r="A158" s="13" t="s">
        <v>356</v>
      </c>
      <c r="B158" s="10">
        <v>48</v>
      </c>
      <c r="D158" s="2"/>
      <c r="E158" s="6"/>
      <c r="F158" s="6"/>
      <c r="G158" s="78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5.75" thickBot="1" x14ac:dyDescent="0.3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15.7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.5" thickBot="1" x14ac:dyDescent="0.3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.5" thickBot="1" x14ac:dyDescent="0.35">
      <c r="A163" s="13" t="s">
        <v>124</v>
      </c>
      <c r="B163" s="21">
        <f>3*C163</f>
        <v>150</v>
      </c>
      <c r="C163" s="21">
        <v>50</v>
      </c>
      <c r="D163" s="6"/>
      <c r="E163" s="6"/>
      <c r="F163" s="6"/>
      <c r="G163" s="84" t="s">
        <v>408</v>
      </c>
      <c r="H163" s="21">
        <v>50</v>
      </c>
    </row>
    <row r="164" spans="1:15" ht="15.75" thickBot="1" x14ac:dyDescent="0.3">
      <c r="A164" s="5" t="s">
        <v>23</v>
      </c>
      <c r="B164" s="6"/>
      <c r="C164" s="6"/>
      <c r="D164" s="39"/>
      <c r="E164" s="39"/>
      <c r="F164" s="39"/>
      <c r="G164" s="85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9" t="s">
        <v>232</v>
      </c>
      <c r="G165" s="78" t="s">
        <v>402</v>
      </c>
      <c r="H165" s="8" t="s">
        <v>19</v>
      </c>
      <c r="I165" s="8" t="s">
        <v>62</v>
      </c>
      <c r="J165" s="89" t="s">
        <v>232</v>
      </c>
    </row>
    <row r="166" spans="1:15" ht="16.5" thickBot="1" x14ac:dyDescent="0.35">
      <c r="A166" s="13" t="s">
        <v>115</v>
      </c>
      <c r="B166" s="10">
        <v>0.03</v>
      </c>
      <c r="C166" s="10">
        <v>0.5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.5" thickBot="1" x14ac:dyDescent="0.35">
      <c r="A167" s="7" t="s">
        <v>116</v>
      </c>
      <c r="B167" s="22">
        <f>0.01</f>
        <v>0.01</v>
      </c>
      <c r="C167" s="22">
        <v>0.1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x14ac:dyDescent="0.25">
      <c r="A168" s="5" t="s">
        <v>426</v>
      </c>
      <c r="B168" s="20"/>
      <c r="C168" s="20"/>
      <c r="G168" s="84"/>
      <c r="H168" s="20"/>
      <c r="I168" s="20"/>
      <c r="J168"/>
      <c r="K168" s="95"/>
    </row>
    <row r="169" spans="1:15" x14ac:dyDescent="0.25">
      <c r="A169" s="19" t="s">
        <v>427</v>
      </c>
      <c r="B169" s="20">
        <v>0.4</v>
      </c>
      <c r="C169" s="20">
        <v>0.4</v>
      </c>
      <c r="G169" s="84"/>
      <c r="H169" s="20">
        <v>0.4</v>
      </c>
      <c r="I169" s="20">
        <v>0.25</v>
      </c>
      <c r="J169"/>
      <c r="K169" s="95"/>
    </row>
    <row r="170" spans="1:15" s="2" customFormat="1" ht="18" customHeight="1" x14ac:dyDescent="0.2">
      <c r="A170" s="3" t="s">
        <v>324</v>
      </c>
      <c r="B170" s="4"/>
      <c r="C170" s="4"/>
      <c r="D170" s="4"/>
      <c r="E170" s="4"/>
      <c r="F170" s="4"/>
      <c r="G170" s="78" t="s">
        <v>403</v>
      </c>
      <c r="H170" s="6"/>
      <c r="I170" s="6"/>
      <c r="J170" s="6"/>
      <c r="K170" s="6"/>
      <c r="L170" s="6"/>
      <c r="M170" s="6"/>
      <c r="N170" s="6"/>
      <c r="O170" s="6"/>
    </row>
    <row r="171" spans="1:15" ht="15.75" thickBot="1" x14ac:dyDescent="0.3">
      <c r="A171" s="5" t="s">
        <v>313</v>
      </c>
      <c r="G171" s="78"/>
    </row>
    <row r="172" spans="1:15" ht="15.75" thickBot="1" x14ac:dyDescent="0.3">
      <c r="A172" s="12" t="s">
        <v>316</v>
      </c>
      <c r="B172" s="8" t="s">
        <v>317</v>
      </c>
      <c r="C172" s="8" t="s">
        <v>323</v>
      </c>
      <c r="G172" s="78"/>
    </row>
    <row r="173" spans="1:15" ht="16.5" thickBot="1" x14ac:dyDescent="0.35">
      <c r="A173" s="44" t="s">
        <v>113</v>
      </c>
      <c r="B173" s="10">
        <f>1+(C173-1)*0.5</f>
        <v>1</v>
      </c>
      <c r="C173" s="10">
        <v>1</v>
      </c>
      <c r="G173" s="78"/>
    </row>
    <row r="174" spans="1:15" ht="16.5" thickBot="1" x14ac:dyDescent="0.35">
      <c r="A174" s="7" t="s">
        <v>96</v>
      </c>
      <c r="B174" s="10">
        <f>1+(1/C173-1)*1</f>
        <v>1</v>
      </c>
      <c r="G174" s="78"/>
    </row>
    <row r="175" spans="1:15" ht="16.5" thickBot="1" x14ac:dyDescent="0.35">
      <c r="A175" s="13" t="s">
        <v>110</v>
      </c>
      <c r="B175" s="10">
        <f>1+(1/C173-1)*1</f>
        <v>1</v>
      </c>
      <c r="G175" s="78"/>
    </row>
    <row r="176" spans="1:15" ht="16.5" thickBot="1" x14ac:dyDescent="0.35">
      <c r="A176" s="13" t="s">
        <v>314</v>
      </c>
      <c r="B176" s="10">
        <f>1+(1/C173-1)*1</f>
        <v>1</v>
      </c>
      <c r="G176" s="78"/>
    </row>
    <row r="177" spans="1:12" ht="16.5" thickBot="1" x14ac:dyDescent="0.35">
      <c r="A177" s="13" t="s">
        <v>315</v>
      </c>
      <c r="B177" s="10">
        <f>1+(1/C173-1)*1</f>
        <v>1</v>
      </c>
      <c r="G177" s="78"/>
    </row>
    <row r="178" spans="1:12" ht="15.75" thickBot="1" x14ac:dyDescent="0.3">
      <c r="A178" s="5" t="s">
        <v>325</v>
      </c>
      <c r="G178" s="78"/>
    </row>
    <row r="179" spans="1:12" ht="15.75" thickBot="1" x14ac:dyDescent="0.3">
      <c r="A179" s="12" t="s">
        <v>328</v>
      </c>
      <c r="B179" s="8" t="s">
        <v>334</v>
      </c>
      <c r="C179" s="8" t="s">
        <v>326</v>
      </c>
      <c r="D179" s="8" t="s">
        <v>327</v>
      </c>
      <c r="E179" s="87" t="s">
        <v>345</v>
      </c>
      <c r="F179" s="58"/>
      <c r="G179" s="79"/>
    </row>
    <row r="180" spans="1:12" ht="18.75" customHeight="1" thickBot="1" x14ac:dyDescent="0.35">
      <c r="A180" s="13" t="s">
        <v>333</v>
      </c>
      <c r="B180" s="10">
        <v>1</v>
      </c>
      <c r="C180" s="10">
        <v>1</v>
      </c>
      <c r="D180" s="10">
        <v>1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332</v>
      </c>
      <c r="B181" s="10">
        <v>0</v>
      </c>
      <c r="C181" s="10">
        <v>0.9</v>
      </c>
      <c r="D181" s="10">
        <v>0.9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331</v>
      </c>
      <c r="B182" s="10">
        <v>0</v>
      </c>
      <c r="C182" s="10">
        <v>0.1</v>
      </c>
      <c r="D182" s="10">
        <v>0.08</v>
      </c>
      <c r="E182" s="88">
        <v>0.01</v>
      </c>
      <c r="F182" s="20"/>
      <c r="G182" s="81"/>
      <c r="H182" s="27"/>
      <c r="K182" s="20"/>
      <c r="L182" s="20"/>
    </row>
    <row r="183" spans="1:12" ht="18.75" customHeight="1" thickBot="1" x14ac:dyDescent="0.35">
      <c r="A183" s="13" t="s">
        <v>330</v>
      </c>
      <c r="B183" s="10">
        <v>0</v>
      </c>
      <c r="C183" s="10">
        <v>0</v>
      </c>
      <c r="D183" s="10">
        <v>0.01</v>
      </c>
      <c r="E183" s="88">
        <v>0.01</v>
      </c>
      <c r="F183" s="20"/>
      <c r="G183" s="81"/>
      <c r="H183" s="27"/>
      <c r="K183" s="20"/>
      <c r="L183" s="20"/>
    </row>
    <row r="184" spans="1:12" ht="18.75" customHeight="1" thickBot="1" x14ac:dyDescent="0.35">
      <c r="A184" s="13" t="s">
        <v>329</v>
      </c>
      <c r="B184" s="10">
        <v>0</v>
      </c>
      <c r="C184" s="10">
        <v>0</v>
      </c>
      <c r="D184" s="10">
        <v>0.01</v>
      </c>
      <c r="E184" s="88">
        <v>0.01</v>
      </c>
      <c r="F184" s="20"/>
      <c r="G184" s="81"/>
      <c r="H184" s="27"/>
      <c r="K184" s="20"/>
      <c r="L184" s="20"/>
    </row>
    <row r="185" spans="1:12" ht="15.75" thickBot="1" x14ac:dyDescent="0.3">
      <c r="A185" s="12" t="s">
        <v>328</v>
      </c>
      <c r="B185" s="87" t="s">
        <v>342</v>
      </c>
      <c r="C185" s="87" t="s">
        <v>343</v>
      </c>
      <c r="D185" s="87" t="s">
        <v>344</v>
      </c>
      <c r="E185" s="87" t="s">
        <v>344</v>
      </c>
      <c r="F185" s="58"/>
      <c r="G185" s="79"/>
    </row>
    <row r="186" spans="1:12" ht="18.75" customHeight="1" thickBot="1" x14ac:dyDescent="0.35">
      <c r="A186" s="13" t="s">
        <v>333</v>
      </c>
      <c r="B186" s="88">
        <v>1</v>
      </c>
      <c r="C186" s="88">
        <v>1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35">
      <c r="A187" s="13" t="s">
        <v>332</v>
      </c>
      <c r="B187" s="88">
        <v>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35">
      <c r="A188" s="13" t="s">
        <v>331</v>
      </c>
      <c r="B188" s="88">
        <v>100</v>
      </c>
      <c r="C188" s="88">
        <v>100</v>
      </c>
      <c r="D188" s="88">
        <v>0</v>
      </c>
      <c r="E188" s="88">
        <v>0</v>
      </c>
      <c r="F188" s="20"/>
      <c r="G188" s="81"/>
      <c r="H188" s="27"/>
      <c r="K188" s="20"/>
      <c r="L188" s="20"/>
    </row>
    <row r="189" spans="1:12" ht="18.75" customHeight="1" thickBot="1" x14ac:dyDescent="0.35">
      <c r="A189" s="13" t="s">
        <v>330</v>
      </c>
      <c r="B189" s="88">
        <v>0.1</v>
      </c>
      <c r="C189" s="88">
        <v>1</v>
      </c>
      <c r="D189" s="88">
        <v>0</v>
      </c>
      <c r="E189" s="88">
        <v>0</v>
      </c>
      <c r="F189" s="20"/>
      <c r="G189" s="81"/>
      <c r="H189" s="27"/>
      <c r="K189" s="20"/>
      <c r="L189" s="20"/>
    </row>
    <row r="190" spans="1:12" ht="18.75" customHeight="1" thickBot="1" x14ac:dyDescent="0.35">
      <c r="A190" s="13" t="s">
        <v>329</v>
      </c>
      <c r="B190" s="88">
        <v>0.1</v>
      </c>
      <c r="C190" s="88">
        <v>1</v>
      </c>
      <c r="D190" s="88">
        <v>0</v>
      </c>
      <c r="E190" s="88">
        <v>0</v>
      </c>
      <c r="F190" s="20"/>
      <c r="G190" s="81"/>
      <c r="H190" s="27"/>
      <c r="K190" s="20"/>
      <c r="L190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tabSelected="1" topLeftCell="A24" zoomScale="181" zoomScaleNormal="100" workbookViewId="0">
      <selection activeCell="C40" sqref="C40"/>
    </sheetView>
  </sheetViews>
  <sheetFormatPr defaultColWidth="8.85546875" defaultRowHeight="15" x14ac:dyDescent="0.25"/>
  <cols>
    <col min="1" max="1" width="21.7109375" customWidth="1"/>
    <col min="2" max="2" width="6.42578125" style="1" customWidth="1"/>
    <col min="3" max="3" width="79.28515625" customWidth="1"/>
    <col min="4" max="4" width="9.42578125" style="1" customWidth="1"/>
    <col min="6" max="6" width="12.28515625" bestFit="1" customWidth="1"/>
  </cols>
  <sheetData>
    <row r="1" spans="1:4" x14ac:dyDescent="0.25">
      <c r="A1" s="99" t="s">
        <v>56</v>
      </c>
      <c r="B1" s="100">
        <v>0</v>
      </c>
      <c r="C1" s="101" t="s">
        <v>58</v>
      </c>
      <c r="D1" s="100" t="s">
        <v>231</v>
      </c>
    </row>
    <row r="2" spans="1:4" x14ac:dyDescent="0.25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5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5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5">
      <c r="A5" s="102" t="s">
        <v>310</v>
      </c>
      <c r="B5" s="103">
        <v>1</v>
      </c>
      <c r="C5" s="102" t="s">
        <v>311</v>
      </c>
      <c r="D5" s="103">
        <v>1</v>
      </c>
    </row>
    <row r="6" spans="1:4" x14ac:dyDescent="0.25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5">
      <c r="A7" s="102" t="s">
        <v>194</v>
      </c>
      <c r="B7" s="103">
        <v>0</v>
      </c>
      <c r="C7" s="102" t="s">
        <v>195</v>
      </c>
      <c r="D7" s="103">
        <v>0</v>
      </c>
    </row>
    <row r="8" spans="1:4" x14ac:dyDescent="0.25">
      <c r="A8" s="102" t="s">
        <v>304</v>
      </c>
      <c r="B8" s="103">
        <v>0</v>
      </c>
      <c r="C8" s="102" t="s">
        <v>305</v>
      </c>
      <c r="D8" s="103">
        <v>0</v>
      </c>
    </row>
    <row r="9" spans="1:4" x14ac:dyDescent="0.25">
      <c r="A9" s="102" t="s">
        <v>63</v>
      </c>
      <c r="B9" s="103">
        <v>0</v>
      </c>
      <c r="C9" s="102" t="s">
        <v>309</v>
      </c>
      <c r="D9" s="103">
        <v>0</v>
      </c>
    </row>
    <row r="10" spans="1:4" ht="15.75" customHeight="1" x14ac:dyDescent="0.25">
      <c r="A10" s="102" t="s">
        <v>32</v>
      </c>
      <c r="B10" s="103">
        <v>2</v>
      </c>
      <c r="C10" s="102" t="s">
        <v>209</v>
      </c>
      <c r="D10" s="103">
        <v>2</v>
      </c>
    </row>
    <row r="11" spans="1:4" x14ac:dyDescent="0.25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5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5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5">
      <c r="A14" s="99" t="s">
        <v>55</v>
      </c>
      <c r="B14" s="100"/>
      <c r="C14" s="101"/>
      <c r="D14" s="100"/>
    </row>
    <row r="15" spans="1:4" ht="16.5" customHeight="1" x14ac:dyDescent="0.25">
      <c r="A15" s="102" t="s">
        <v>33</v>
      </c>
      <c r="B15" s="103">
        <v>2</v>
      </c>
      <c r="C15" s="102" t="s">
        <v>354</v>
      </c>
      <c r="D15" s="103">
        <v>2</v>
      </c>
    </row>
    <row r="16" spans="1:4" x14ac:dyDescent="0.25">
      <c r="A16" s="102" t="s">
        <v>34</v>
      </c>
      <c r="B16" s="103">
        <v>0</v>
      </c>
      <c r="C16" s="102" t="s">
        <v>73</v>
      </c>
      <c r="D16" s="103">
        <v>0</v>
      </c>
    </row>
    <row r="17" spans="1:4" x14ac:dyDescent="0.25">
      <c r="A17" s="102" t="s">
        <v>47</v>
      </c>
      <c r="B17" s="103">
        <v>1</v>
      </c>
      <c r="C17" s="102" t="s">
        <v>230</v>
      </c>
      <c r="D17" s="103">
        <v>1</v>
      </c>
    </row>
    <row r="18" spans="1:4" ht="16.5" customHeight="1" x14ac:dyDescent="0.25">
      <c r="A18" s="102" t="s">
        <v>353</v>
      </c>
      <c r="B18" s="103">
        <v>3</v>
      </c>
      <c r="C18" s="102" t="s">
        <v>362</v>
      </c>
      <c r="D18" s="103">
        <v>2</v>
      </c>
    </row>
    <row r="19" spans="1:4" x14ac:dyDescent="0.25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5">
      <c r="A20" s="102" t="s">
        <v>67</v>
      </c>
      <c r="B20" s="103">
        <v>1</v>
      </c>
      <c r="C20" s="102" t="s">
        <v>424</v>
      </c>
      <c r="D20" s="103">
        <v>1</v>
      </c>
    </row>
    <row r="21" spans="1:4" x14ac:dyDescent="0.25">
      <c r="A21" s="99" t="s">
        <v>129</v>
      </c>
      <c r="B21" s="100"/>
      <c r="C21" s="101"/>
      <c r="D21" s="100"/>
    </row>
    <row r="22" spans="1:4" ht="16.5" customHeight="1" x14ac:dyDescent="0.25">
      <c r="A22" s="102" t="s">
        <v>35</v>
      </c>
      <c r="B22" s="103">
        <v>2</v>
      </c>
      <c r="C22" s="102" t="s">
        <v>425</v>
      </c>
      <c r="D22" s="103">
        <v>1</v>
      </c>
    </row>
    <row r="23" spans="1:4" x14ac:dyDescent="0.25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5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5">
      <c r="A25" s="102" t="s">
        <v>130</v>
      </c>
      <c r="B25" s="103">
        <v>2</v>
      </c>
      <c r="C25" s="102" t="s">
        <v>406</v>
      </c>
      <c r="D25" s="103">
        <v>1</v>
      </c>
    </row>
    <row r="26" spans="1:4" x14ac:dyDescent="0.25">
      <c r="A26" s="102" t="s">
        <v>203</v>
      </c>
      <c r="B26" s="103">
        <v>1</v>
      </c>
      <c r="C26" s="102" t="s">
        <v>204</v>
      </c>
      <c r="D26" s="103">
        <v>1</v>
      </c>
    </row>
    <row r="27" spans="1:4" x14ac:dyDescent="0.25">
      <c r="A27" s="102" t="s">
        <v>432</v>
      </c>
      <c r="B27" s="103">
        <v>1</v>
      </c>
      <c r="C27" s="102" t="s">
        <v>433</v>
      </c>
      <c r="D27" s="103">
        <v>1</v>
      </c>
    </row>
    <row r="28" spans="1:4" x14ac:dyDescent="0.25">
      <c r="A28" s="99" t="s">
        <v>437</v>
      </c>
      <c r="B28" s="100"/>
      <c r="C28" s="101"/>
      <c r="D28" s="100"/>
    </row>
    <row r="29" spans="1:4" x14ac:dyDescent="0.25">
      <c r="A29" s="102" t="s">
        <v>436</v>
      </c>
      <c r="B29" s="103">
        <v>0</v>
      </c>
      <c r="C29" s="102" t="s">
        <v>438</v>
      </c>
      <c r="D29" s="103">
        <v>0</v>
      </c>
    </row>
    <row r="30" spans="1:4" x14ac:dyDescent="0.25">
      <c r="A30" s="116" t="s">
        <v>434</v>
      </c>
      <c r="B30" s="117">
        <v>1</v>
      </c>
      <c r="C30" s="116" t="s">
        <v>435</v>
      </c>
      <c r="D30" s="117">
        <v>0</v>
      </c>
    </row>
    <row r="31" spans="1:4" ht="23.25" x14ac:dyDescent="0.25">
      <c r="A31" s="102" t="s">
        <v>439</v>
      </c>
      <c r="B31" s="103">
        <v>0</v>
      </c>
      <c r="C31" s="102" t="s">
        <v>440</v>
      </c>
      <c r="D31" s="103">
        <v>0</v>
      </c>
    </row>
    <row r="32" spans="1:4" ht="23.25" x14ac:dyDescent="0.25">
      <c r="A32" s="116" t="s">
        <v>441</v>
      </c>
      <c r="B32" s="117">
        <v>1</v>
      </c>
      <c r="C32" s="118" t="s">
        <v>442</v>
      </c>
      <c r="D32" s="117">
        <v>1</v>
      </c>
    </row>
    <row r="33" spans="1:5" x14ac:dyDescent="0.25">
      <c r="A33" s="99" t="s">
        <v>57</v>
      </c>
      <c r="B33" s="100"/>
      <c r="C33" s="101"/>
      <c r="D33" s="100"/>
    </row>
    <row r="34" spans="1:5" x14ac:dyDescent="0.25">
      <c r="A34" s="102" t="s">
        <v>271</v>
      </c>
      <c r="B34" s="103">
        <v>1</v>
      </c>
      <c r="C34" s="102" t="s">
        <v>273</v>
      </c>
      <c r="D34" s="103">
        <v>1</v>
      </c>
    </row>
    <row r="35" spans="1:5" x14ac:dyDescent="0.25">
      <c r="A35" s="102" t="s">
        <v>272</v>
      </c>
      <c r="B35" s="103">
        <v>1</v>
      </c>
      <c r="C35" s="102" t="s">
        <v>274</v>
      </c>
      <c r="D35" s="103">
        <v>1</v>
      </c>
    </row>
    <row r="36" spans="1:5" ht="17.25" customHeight="1" x14ac:dyDescent="0.25">
      <c r="A36" s="102" t="s">
        <v>50</v>
      </c>
      <c r="B36" s="103">
        <v>1</v>
      </c>
      <c r="C36" s="102" t="s">
        <v>53</v>
      </c>
      <c r="D36" s="103">
        <v>1</v>
      </c>
    </row>
    <row r="37" spans="1:5" ht="15.75" customHeight="1" x14ac:dyDescent="0.25">
      <c r="A37" s="102" t="s">
        <v>51</v>
      </c>
      <c r="B37" s="103">
        <v>1</v>
      </c>
      <c r="C37" s="102" t="s">
        <v>54</v>
      </c>
      <c r="D37" s="103">
        <v>1</v>
      </c>
    </row>
    <row r="38" spans="1:5" x14ac:dyDescent="0.25">
      <c r="A38" s="102" t="s">
        <v>72</v>
      </c>
      <c r="B38" s="103">
        <v>1</v>
      </c>
      <c r="C38" s="102" t="s">
        <v>71</v>
      </c>
      <c r="D38" s="103">
        <v>1</v>
      </c>
      <c r="E38">
        <v>0.15</v>
      </c>
    </row>
    <row r="39" spans="1:5" x14ac:dyDescent="0.25">
      <c r="A39" s="102" t="s">
        <v>52</v>
      </c>
      <c r="B39" s="103">
        <v>0</v>
      </c>
      <c r="C39" s="102" t="s">
        <v>267</v>
      </c>
      <c r="D39" s="103">
        <v>1</v>
      </c>
    </row>
    <row r="40" spans="1:5" x14ac:dyDescent="0.25">
      <c r="A40" s="102" t="s">
        <v>41</v>
      </c>
      <c r="B40" s="103">
        <v>0</v>
      </c>
      <c r="C40" s="102" t="s">
        <v>393</v>
      </c>
      <c r="D40" s="103">
        <v>0</v>
      </c>
    </row>
    <row r="41" spans="1:5" x14ac:dyDescent="0.25">
      <c r="A41" s="102" t="s">
        <v>388</v>
      </c>
      <c r="B41" s="103">
        <v>0</v>
      </c>
      <c r="C41" s="102" t="s">
        <v>394</v>
      </c>
      <c r="D41" s="103">
        <v>0</v>
      </c>
    </row>
    <row r="42" spans="1:5" x14ac:dyDescent="0.25">
      <c r="A42" s="102" t="s">
        <v>42</v>
      </c>
      <c r="B42" s="103">
        <v>0</v>
      </c>
      <c r="C42" s="102" t="s">
        <v>322</v>
      </c>
      <c r="D42" s="103">
        <v>0</v>
      </c>
    </row>
    <row r="43" spans="1:5" x14ac:dyDescent="0.25">
      <c r="A43" s="102" t="s">
        <v>43</v>
      </c>
      <c r="B43" s="103">
        <v>1</v>
      </c>
      <c r="C43" s="102" t="s">
        <v>321</v>
      </c>
      <c r="D43" s="103">
        <v>1</v>
      </c>
    </row>
    <row r="44" spans="1:5" x14ac:dyDescent="0.25">
      <c r="A44" s="102" t="s">
        <v>198</v>
      </c>
      <c r="B44" s="103">
        <v>0</v>
      </c>
      <c r="C44" s="102" t="s">
        <v>268</v>
      </c>
      <c r="D44" s="103">
        <v>0</v>
      </c>
    </row>
    <row r="45" spans="1:5" x14ac:dyDescent="0.25">
      <c r="A45" s="99" t="s">
        <v>59</v>
      </c>
      <c r="B45" s="100"/>
      <c r="C45" s="101"/>
      <c r="D45" s="100"/>
    </row>
    <row r="46" spans="1:5" x14ac:dyDescent="0.25">
      <c r="A46" s="102" t="s">
        <v>36</v>
      </c>
      <c r="B46" s="103">
        <v>2</v>
      </c>
      <c r="C46" s="102" t="s">
        <v>308</v>
      </c>
      <c r="D46" s="103">
        <v>2</v>
      </c>
    </row>
    <row r="47" spans="1:5" ht="18.75" customHeight="1" x14ac:dyDescent="0.25">
      <c r="A47" s="102" t="s">
        <v>428</v>
      </c>
      <c r="B47" s="103">
        <v>0</v>
      </c>
      <c r="C47" s="102" t="s">
        <v>429</v>
      </c>
      <c r="D47" s="103">
        <v>0</v>
      </c>
    </row>
    <row r="48" spans="1:5" ht="16.5" customHeight="1" x14ac:dyDescent="0.25">
      <c r="A48" s="102" t="s">
        <v>37</v>
      </c>
      <c r="B48" s="103">
        <v>1</v>
      </c>
      <c r="C48" s="102" t="s">
        <v>227</v>
      </c>
      <c r="D48" s="103">
        <v>1</v>
      </c>
    </row>
    <row r="49" spans="1:4" ht="16.5" customHeight="1" x14ac:dyDescent="0.25">
      <c r="A49" s="99" t="s">
        <v>210</v>
      </c>
      <c r="B49" s="100"/>
      <c r="C49" s="101"/>
      <c r="D49" s="100"/>
    </row>
    <row r="50" spans="1:4" x14ac:dyDescent="0.25">
      <c r="A50" s="102" t="s">
        <v>211</v>
      </c>
      <c r="B50" s="103">
        <v>0</v>
      </c>
      <c r="C50" s="102" t="s">
        <v>405</v>
      </c>
      <c r="D50" s="103">
        <v>0</v>
      </c>
    </row>
    <row r="51" spans="1:4" ht="18.75" customHeight="1" x14ac:dyDescent="0.25"/>
    <row r="52" spans="1:4" ht="16.5" customHeigh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topLeftCell="A16" workbookViewId="0">
      <selection activeCell="A16" sqref="A1:C1048576"/>
    </sheetView>
  </sheetViews>
  <sheetFormatPr defaultColWidth="8.85546875" defaultRowHeight="15" x14ac:dyDescent="0.25"/>
  <cols>
    <col min="1" max="1" width="30.28515625" bestFit="1" customWidth="1"/>
    <col min="3" max="3" width="89.42578125" style="24" customWidth="1"/>
  </cols>
  <sheetData>
    <row r="1" spans="1:5" x14ac:dyDescent="0.25">
      <c r="A1" s="104" t="s">
        <v>180</v>
      </c>
      <c r="B1" s="105">
        <v>0</v>
      </c>
      <c r="C1" s="106" t="s">
        <v>58</v>
      </c>
      <c r="D1" t="s">
        <v>422</v>
      </c>
    </row>
    <row r="2" spans="1:5" x14ac:dyDescent="0.25">
      <c r="A2" s="107" t="s">
        <v>154</v>
      </c>
      <c r="B2" s="107" t="s">
        <v>15</v>
      </c>
      <c r="C2" s="108" t="s">
        <v>148</v>
      </c>
    </row>
    <row r="3" spans="1:5" x14ac:dyDescent="0.25">
      <c r="A3" s="109" t="s">
        <v>184</v>
      </c>
      <c r="B3" s="110">
        <v>6</v>
      </c>
      <c r="C3" s="111" t="s">
        <v>149</v>
      </c>
      <c r="D3" s="92"/>
      <c r="E3" s="1"/>
    </row>
    <row r="4" spans="1:5" x14ac:dyDescent="0.25">
      <c r="A4" s="109" t="s">
        <v>143</v>
      </c>
      <c r="B4" s="110">
        <v>18</v>
      </c>
      <c r="C4" s="111" t="s">
        <v>150</v>
      </c>
      <c r="D4" s="92"/>
      <c r="E4" s="1"/>
    </row>
    <row r="5" spans="1:5" x14ac:dyDescent="0.25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5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5">
      <c r="A7" s="109" t="s">
        <v>151</v>
      </c>
      <c r="B7" s="110">
        <v>-8</v>
      </c>
      <c r="C7" s="111" t="s">
        <v>146</v>
      </c>
      <c r="D7" s="92">
        <v>-6</v>
      </c>
      <c r="E7" s="1"/>
    </row>
    <row r="8" spans="1:5" x14ac:dyDescent="0.25">
      <c r="A8" s="109" t="s">
        <v>152</v>
      </c>
      <c r="B8" s="110">
        <v>-2</v>
      </c>
      <c r="C8" s="111" t="s">
        <v>147</v>
      </c>
      <c r="D8" s="92">
        <v>-1</v>
      </c>
      <c r="E8" s="1"/>
    </row>
    <row r="9" spans="1:5" x14ac:dyDescent="0.25">
      <c r="A9" s="109" t="s">
        <v>172</v>
      </c>
      <c r="B9" s="110">
        <v>0.2</v>
      </c>
      <c r="C9" s="111" t="s">
        <v>177</v>
      </c>
      <c r="D9" s="92">
        <v>0.1</v>
      </c>
      <c r="E9" s="1"/>
    </row>
    <row r="10" spans="1:5" x14ac:dyDescent="0.25">
      <c r="A10" s="109" t="s">
        <v>153</v>
      </c>
      <c r="B10" s="110">
        <v>95</v>
      </c>
      <c r="C10" s="111" t="s">
        <v>397</v>
      </c>
      <c r="D10" s="92">
        <v>99</v>
      </c>
      <c r="E10" s="1"/>
    </row>
    <row r="11" spans="1:5" x14ac:dyDescent="0.25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5">
      <c r="A12" s="109" t="s">
        <v>144</v>
      </c>
      <c r="B12" s="110">
        <v>20</v>
      </c>
      <c r="C12" s="111" t="s">
        <v>186</v>
      </c>
      <c r="D12" s="92"/>
      <c r="E12" s="1"/>
    </row>
    <row r="13" spans="1:5" x14ac:dyDescent="0.25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5">
      <c r="A14" s="109" t="s">
        <v>347</v>
      </c>
      <c r="B14" s="110">
        <v>1</v>
      </c>
      <c r="C14" s="111" t="s">
        <v>391</v>
      </c>
      <c r="D14" s="92"/>
      <c r="E14" s="1"/>
    </row>
    <row r="15" spans="1:5" x14ac:dyDescent="0.25">
      <c r="A15" s="2"/>
      <c r="B15" s="2"/>
      <c r="C15" s="112"/>
    </row>
    <row r="16" spans="1:5" x14ac:dyDescent="0.25">
      <c r="A16" s="107" t="s">
        <v>155</v>
      </c>
      <c r="B16" s="107" t="s">
        <v>15</v>
      </c>
      <c r="C16" s="108" t="s">
        <v>148</v>
      </c>
    </row>
    <row r="17" spans="1:3" x14ac:dyDescent="0.25">
      <c r="A17" s="109" t="s">
        <v>185</v>
      </c>
      <c r="B17" s="110">
        <v>5</v>
      </c>
      <c r="C17" s="113" t="s">
        <v>169</v>
      </c>
    </row>
    <row r="18" spans="1:3" x14ac:dyDescent="0.25">
      <c r="A18" s="109" t="s">
        <v>156</v>
      </c>
      <c r="B18" s="110">
        <v>5</v>
      </c>
      <c r="C18" s="113" t="s">
        <v>168</v>
      </c>
    </row>
    <row r="19" spans="1:3" x14ac:dyDescent="0.25">
      <c r="A19" s="109" t="s">
        <v>157</v>
      </c>
      <c r="B19" s="110">
        <v>14</v>
      </c>
      <c r="C19" s="113" t="s">
        <v>167</v>
      </c>
    </row>
    <row r="20" spans="1:3" x14ac:dyDescent="0.25">
      <c r="A20" s="109" t="s">
        <v>158</v>
      </c>
      <c r="B20" s="110">
        <v>0.5</v>
      </c>
      <c r="C20" s="113" t="s">
        <v>170</v>
      </c>
    </row>
    <row r="21" spans="1:3" x14ac:dyDescent="0.25">
      <c r="A21" s="109" t="s">
        <v>160</v>
      </c>
      <c r="B21" s="110">
        <v>-50</v>
      </c>
      <c r="C21" s="113" t="s">
        <v>166</v>
      </c>
    </row>
    <row r="22" spans="1:3" x14ac:dyDescent="0.25">
      <c r="A22" s="109" t="s">
        <v>161</v>
      </c>
      <c r="B22" s="110">
        <v>-2</v>
      </c>
      <c r="C22" s="113" t="s">
        <v>165</v>
      </c>
    </row>
    <row r="23" spans="1:3" ht="15.75" customHeight="1" x14ac:dyDescent="0.25">
      <c r="A23" s="109" t="s">
        <v>171</v>
      </c>
      <c r="B23" s="110">
        <v>0.1</v>
      </c>
      <c r="C23" s="113" t="s">
        <v>178</v>
      </c>
    </row>
    <row r="24" spans="1:3" x14ac:dyDescent="0.25">
      <c r="A24" s="109" t="s">
        <v>162</v>
      </c>
      <c r="B24" s="110">
        <v>0</v>
      </c>
      <c r="C24" s="113" t="s">
        <v>179</v>
      </c>
    </row>
    <row r="25" spans="1:3" x14ac:dyDescent="0.25">
      <c r="A25" s="109" t="s">
        <v>159</v>
      </c>
      <c r="B25" s="110">
        <v>0.1</v>
      </c>
      <c r="C25" s="113" t="s">
        <v>396</v>
      </c>
    </row>
    <row r="26" spans="1:3" x14ac:dyDescent="0.25">
      <c r="A26" s="109" t="s">
        <v>163</v>
      </c>
      <c r="B26" s="110">
        <v>250</v>
      </c>
      <c r="C26" s="113" t="s">
        <v>187</v>
      </c>
    </row>
    <row r="27" spans="1:3" x14ac:dyDescent="0.25">
      <c r="A27" s="109" t="s">
        <v>164</v>
      </c>
      <c r="B27" s="110">
        <v>0</v>
      </c>
      <c r="C27" s="113" t="s">
        <v>174</v>
      </c>
    </row>
    <row r="28" spans="1:3" x14ac:dyDescent="0.25">
      <c r="A28" s="2"/>
      <c r="B28" s="2"/>
      <c r="C28" s="112"/>
    </row>
    <row r="29" spans="1:3" x14ac:dyDescent="0.25">
      <c r="A29" s="107" t="s">
        <v>193</v>
      </c>
      <c r="B29" s="107" t="s">
        <v>15</v>
      </c>
      <c r="C29" s="108" t="s">
        <v>148</v>
      </c>
    </row>
    <row r="30" spans="1:3" x14ac:dyDescent="0.25">
      <c r="A30" s="109" t="s">
        <v>216</v>
      </c>
      <c r="B30" s="110">
        <v>3</v>
      </c>
      <c r="C30" s="113" t="s">
        <v>197</v>
      </c>
    </row>
    <row r="31" spans="1:3" x14ac:dyDescent="0.25">
      <c r="A31" s="109" t="s">
        <v>215</v>
      </c>
      <c r="B31" s="110"/>
      <c r="C31" s="113" t="s">
        <v>217</v>
      </c>
    </row>
    <row r="32" spans="1:3" x14ac:dyDescent="0.25">
      <c r="A32" s="2"/>
      <c r="B32" s="2"/>
      <c r="C32" s="112"/>
    </row>
    <row r="33" spans="1:5" x14ac:dyDescent="0.25">
      <c r="A33" s="107" t="s">
        <v>199</v>
      </c>
      <c r="B33" s="107" t="s">
        <v>15</v>
      </c>
      <c r="C33" s="108" t="s">
        <v>148</v>
      </c>
    </row>
    <row r="34" spans="1:5" x14ac:dyDescent="0.25">
      <c r="A34" s="109" t="s">
        <v>218</v>
      </c>
      <c r="B34" s="110">
        <f>24*3</f>
        <v>72</v>
      </c>
      <c r="C34" s="113" t="s">
        <v>214</v>
      </c>
    </row>
    <row r="35" spans="1:5" x14ac:dyDescent="0.25">
      <c r="A35" s="109" t="s">
        <v>219</v>
      </c>
      <c r="B35" s="110">
        <v>0</v>
      </c>
      <c r="C35" s="113" t="s">
        <v>205</v>
      </c>
    </row>
    <row r="36" spans="1:5" x14ac:dyDescent="0.25">
      <c r="A36" s="109" t="s">
        <v>220</v>
      </c>
      <c r="B36" s="110">
        <v>11</v>
      </c>
      <c r="C36" s="113" t="s">
        <v>206</v>
      </c>
    </row>
    <row r="37" spans="1:5" x14ac:dyDescent="0.25">
      <c r="A37" s="109" t="s">
        <v>221</v>
      </c>
      <c r="B37" s="110">
        <v>4</v>
      </c>
      <c r="C37" s="113" t="s">
        <v>207</v>
      </c>
    </row>
    <row r="38" spans="1:5" x14ac:dyDescent="0.25">
      <c r="A38" s="109" t="s">
        <v>200</v>
      </c>
      <c r="B38" s="110">
        <v>0</v>
      </c>
      <c r="C38" s="113" t="s">
        <v>208</v>
      </c>
    </row>
    <row r="39" spans="1:5" x14ac:dyDescent="0.25">
      <c r="A39" s="109" t="s">
        <v>222</v>
      </c>
      <c r="B39" s="110">
        <v>0.6</v>
      </c>
      <c r="C39" s="113" t="s">
        <v>223</v>
      </c>
    </row>
    <row r="40" spans="1:5" x14ac:dyDescent="0.25">
      <c r="A40" s="109" t="s">
        <v>269</v>
      </c>
      <c r="B40" s="110">
        <v>0.1</v>
      </c>
      <c r="C40" s="113" t="s">
        <v>270</v>
      </c>
    </row>
    <row r="41" spans="1:5" x14ac:dyDescent="0.25">
      <c r="A41" s="2"/>
      <c r="B41" s="2"/>
      <c r="C41" s="112"/>
    </row>
    <row r="42" spans="1:5" x14ac:dyDescent="0.25">
      <c r="A42" s="107" t="s">
        <v>366</v>
      </c>
      <c r="B42" s="107" t="s">
        <v>15</v>
      </c>
      <c r="C42" s="108" t="s">
        <v>386</v>
      </c>
    </row>
    <row r="43" spans="1:5" x14ac:dyDescent="0.25">
      <c r="A43" s="109" t="s">
        <v>367</v>
      </c>
      <c r="B43" s="110">
        <v>2</v>
      </c>
      <c r="C43" s="111" t="s">
        <v>382</v>
      </c>
      <c r="D43" s="92"/>
      <c r="E43" s="1"/>
    </row>
    <row r="44" spans="1:5" x14ac:dyDescent="0.25">
      <c r="A44" s="109" t="s">
        <v>368</v>
      </c>
      <c r="B44" s="110">
        <v>6</v>
      </c>
      <c r="C44" s="111" t="s">
        <v>392</v>
      </c>
      <c r="D44" s="92"/>
      <c r="E44" s="1"/>
    </row>
    <row r="45" spans="1:5" x14ac:dyDescent="0.25">
      <c r="A45" s="109" t="s">
        <v>369</v>
      </c>
      <c r="B45" s="110">
        <v>2.9</v>
      </c>
      <c r="C45" s="111" t="s">
        <v>390</v>
      </c>
      <c r="D45" s="92"/>
      <c r="E45" s="1"/>
    </row>
    <row r="46" spans="1:5" x14ac:dyDescent="0.25">
      <c r="A46" s="109" t="s">
        <v>370</v>
      </c>
      <c r="B46" s="110">
        <v>0.25</v>
      </c>
      <c r="C46" s="111" t="s">
        <v>170</v>
      </c>
      <c r="D46" s="92"/>
      <c r="E46" s="1"/>
    </row>
    <row r="47" spans="1:5" x14ac:dyDescent="0.25">
      <c r="A47" s="109" t="s">
        <v>371</v>
      </c>
      <c r="B47" s="110">
        <v>-30</v>
      </c>
      <c r="C47" s="111" t="s">
        <v>383</v>
      </c>
      <c r="D47" s="92"/>
      <c r="E47" s="1"/>
    </row>
    <row r="48" spans="1:5" x14ac:dyDescent="0.25">
      <c r="A48" s="109" t="s">
        <v>372</v>
      </c>
      <c r="B48" s="110">
        <v>25</v>
      </c>
      <c r="C48" s="111" t="s">
        <v>398</v>
      </c>
      <c r="D48" s="92"/>
      <c r="E48" s="1"/>
    </row>
    <row r="49" spans="1:5" ht="15.75" customHeight="1" x14ac:dyDescent="0.25">
      <c r="A49" s="109" t="s">
        <v>373</v>
      </c>
      <c r="B49" s="110">
        <v>0.1</v>
      </c>
      <c r="C49" s="111" t="s">
        <v>385</v>
      </c>
      <c r="D49" s="92"/>
      <c r="E49" s="1"/>
    </row>
    <row r="50" spans="1:5" x14ac:dyDescent="0.25">
      <c r="A50" s="109" t="s">
        <v>374</v>
      </c>
      <c r="B50" s="110">
        <v>40</v>
      </c>
      <c r="C50" s="111" t="s">
        <v>395</v>
      </c>
      <c r="D50" s="92"/>
      <c r="E50" s="1"/>
    </row>
    <row r="51" spans="1:5" x14ac:dyDescent="0.25">
      <c r="A51" s="109" t="s">
        <v>375</v>
      </c>
      <c r="B51" s="110">
        <v>0.05</v>
      </c>
      <c r="C51" s="111" t="s">
        <v>389</v>
      </c>
      <c r="D51" s="92"/>
      <c r="E51" s="1"/>
    </row>
    <row r="52" spans="1:5" x14ac:dyDescent="0.25">
      <c r="A52" s="109" t="s">
        <v>376</v>
      </c>
      <c r="B52" s="110">
        <v>5</v>
      </c>
      <c r="C52" s="111" t="s">
        <v>384</v>
      </c>
      <c r="D52" s="92"/>
      <c r="E52" s="1"/>
    </row>
    <row r="53" spans="1:5" x14ac:dyDescent="0.25">
      <c r="A53" s="109" t="s">
        <v>377</v>
      </c>
      <c r="B53" s="110">
        <v>0.2</v>
      </c>
      <c r="C53" s="111" t="s">
        <v>387</v>
      </c>
      <c r="D53" s="92"/>
      <c r="E53" s="1"/>
    </row>
    <row r="54" spans="1:5" x14ac:dyDescent="0.25">
      <c r="A54" s="109" t="s">
        <v>378</v>
      </c>
      <c r="B54" s="110">
        <v>11</v>
      </c>
      <c r="C54" s="113" t="s">
        <v>380</v>
      </c>
    </row>
    <row r="55" spans="1:5" x14ac:dyDescent="0.25">
      <c r="A55" s="109" t="s">
        <v>379</v>
      </c>
      <c r="B55" s="110">
        <v>4</v>
      </c>
      <c r="C55" s="113" t="s">
        <v>381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2025-11-13T10:23:48Z</dcterms:modified>
</cp:coreProperties>
</file>