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NORTRIP\NORTRIP\NORTRIP_model_public_v3_4\model_parameters\"/>
    </mc:Choice>
  </mc:AlternateContent>
  <xr:revisionPtr revIDLastSave="0" documentId="13_ncr:1_{A622C6D1-0016-4E96-9173-4176794F0936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1" l="1"/>
  <c r="C66" i="1"/>
  <c r="B66" i="1"/>
  <c r="D101" i="1"/>
  <c r="E101" i="1"/>
  <c r="B47" i="1" l="1"/>
  <c r="D48" i="1"/>
  <c r="C48" i="1"/>
  <c r="B48" i="1"/>
  <c r="D7" i="1" l="1"/>
  <c r="C7" i="1"/>
  <c r="D141" i="1" l="1"/>
  <c r="C141" i="1"/>
  <c r="B138" i="1" l="1"/>
  <c r="D138" i="1" l="1"/>
  <c r="C138" i="1"/>
  <c r="C108" i="1"/>
  <c r="C106" i="1"/>
  <c r="C105" i="1"/>
  <c r="E103" i="1"/>
  <c r="E102" i="1"/>
  <c r="D98" i="1"/>
  <c r="E98" i="1" s="1"/>
  <c r="H138" i="1"/>
  <c r="J138" i="1" s="1"/>
  <c r="B167" i="1"/>
  <c r="E105" i="1" l="1"/>
  <c r="E106" i="1"/>
  <c r="D105" i="1"/>
  <c r="D106" i="1"/>
  <c r="I138" i="1"/>
  <c r="H167" i="1"/>
  <c r="J36" i="1" l="1"/>
  <c r="J33" i="1"/>
  <c r="B163" i="1" l="1"/>
  <c r="B7" i="1" l="1"/>
  <c r="E117" i="1" l="1"/>
  <c r="D117" i="1"/>
  <c r="C117" i="1" s="1"/>
  <c r="E120" i="1" l="1"/>
  <c r="D120" i="1"/>
  <c r="C120" i="1"/>
  <c r="B173" i="1" l="1"/>
  <c r="B119" i="1" l="1"/>
  <c r="B174" i="1" l="1"/>
  <c r="C119" i="1" l="1"/>
  <c r="D119" i="1" l="1"/>
  <c r="M5" i="1"/>
  <c r="H7" i="1" s="1"/>
  <c r="K7" i="1" s="1"/>
  <c r="L5" i="1"/>
  <c r="C6" i="1"/>
  <c r="C137" i="1" l="1"/>
  <c r="D137" i="1"/>
  <c r="B137" i="1"/>
  <c r="B34" i="3" l="1"/>
  <c r="E119" i="1" l="1"/>
  <c r="B177" i="1" l="1"/>
  <c r="B176" i="1"/>
  <c r="B175" i="1"/>
  <c r="D47" i="1" l="1"/>
  <c r="B65" i="1" l="1"/>
  <c r="C65" i="1"/>
  <c r="D65" i="1"/>
  <c r="H159" i="1" l="1"/>
  <c r="H160" i="1" s="1"/>
  <c r="I7" i="1" l="1"/>
  <c r="J7" i="1"/>
  <c r="D6" i="1"/>
  <c r="B6" i="1"/>
  <c r="C47" i="1" l="1"/>
  <c r="B162" i="1" l="1"/>
  <c r="C12" i="1" l="1"/>
  <c r="D12" i="1"/>
  <c r="B12" i="1"/>
  <c r="C18" i="1"/>
  <c r="D18" i="1"/>
  <c r="B18" i="1"/>
  <c r="C72" i="1" l="1"/>
  <c r="D72" i="1"/>
  <c r="B72" i="1"/>
</calcChain>
</file>

<file path=xl/sharedStrings.xml><?xml version="1.0" encoding="utf-8"?>
<sst xmlns="http://schemas.openxmlformats.org/spreadsheetml/2006/main" count="547" uniqueCount="431">
  <si>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</si>
  <si>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</si>
  <si>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</si>
  <si>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</si>
  <si>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</si>
  <si>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</si>
  <si>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</si>
  <si>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</si>
  <si>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</si>
  <si>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</si>
  <si>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</si>
  <si>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</si>
  <si>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</si>
  <si>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</si>
  <si>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</si>
  <si>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</si>
  <si>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</si>
  <si>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</si>
  <si>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</si>
  <si>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</si>
  <si>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</si>
  <si>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</si>
  <si>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</si>
  <si>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</si>
  <si>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</si>
  <si>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</si>
  <si>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</si>
  <si>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</si>
  <si>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</si>
  <si>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</si>
  <si>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</si>
  <si>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</si>
  <si>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</si>
  <si>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</si>
  <si>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</si>
  <si>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</si>
  <si>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</si>
  <si>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</si>
  <si>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</si>
  <si>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</si>
  <si>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</si>
  <si>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</si>
  <si>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</si>
  <si>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</si>
  <si>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</si>
  <si>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</si>
  <si>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</si>
  <si>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</si>
  <si>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</si>
  <si>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</si>
  <si>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</si>
  <si>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</si>
  <si>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</si>
  <si>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</si>
  <si>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</si>
  <si>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</si>
  <si>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</si>
  <si>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</si>
  <si>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</si>
  <si>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</si>
  <si>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</si>
  <si>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</si>
  <si>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</si>
  <si>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</si>
  <si>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</si>
  <si>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</si>
  <si>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</si>
  <si>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</si>
  <si>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</si>
  <si>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</si>
  <si>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</si>
  <si>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</si>
  <si>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</si>
  <si>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</si>
  <si>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</si>
  <si>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</si>
  <si>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</si>
  <si>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</si>
  <si>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</si>
  <si>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</si>
  <si>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</si>
  <si>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</si>
  <si>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</si>
  <si>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</si>
  <si>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</si>
  <si>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</si>
  <si>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</si>
  <si>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</si>
  <si>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</si>
  <si>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</si>
  <si>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</si>
  <si>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</si>
  <si>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</si>
  <si>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</si>
  <si>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</si>
  <si>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</si>
  <si>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</si>
  <si>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</si>
  <si>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</si>
  <si>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</si>
  <si>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</si>
  <si>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</si>
  <si>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</si>
  <si>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</si>
  <si>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</si>
  <si>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</si>
  <si>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</si>
  <si>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</si>
  <si>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</si>
  <si>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</si>
  <si>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</si>
  <si>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</si>
  <si>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</si>
  <si>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</si>
  <si>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</si>
  <si>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</si>
  <si>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</si>
  <si>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</si>
  <si>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</si>
  <si>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</si>
  <si>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</si>
  <si>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</si>
  <si>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</si>
  <si>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</si>
  <si>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</si>
  <si>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</si>
  <si>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</si>
  <si>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</si>
  <si>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</si>
  <si>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</si>
  <si>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</si>
  <si>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</si>
  <si>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</si>
  <si>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</si>
  <si>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</si>
  <si>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</si>
  <si>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</si>
  <si>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</si>
  <si>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</si>
  <si>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</si>
  <si>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</si>
  <si>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</si>
  <si>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</si>
  <si>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</si>
  <si>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</si>
  <si>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</si>
  <si>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</si>
  <si>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</si>
  <si>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</si>
  <si>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</si>
  <si>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</si>
  <si>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</si>
  <si>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</si>
  <si>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</si>
  <si>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</si>
  <si>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</si>
  <si>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</si>
  <si>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</si>
  <si>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</si>
  <si>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</si>
  <si>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</si>
  <si>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</si>
  <si>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</si>
  <si>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</si>
  <si>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</si>
  <si>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</si>
  <si>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</si>
  <si>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</si>
  <si>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</si>
  <si>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</si>
  <si>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</si>
  <si>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</si>
  <si>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</si>
  <si>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</si>
  <si>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</si>
  <si>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</si>
  <si>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</si>
  <si>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</si>
  <si>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</si>
  <si>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</si>
  <si>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</si>
  <si>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</si>
  <si>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</si>
  <si>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</si>
  <si>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</si>
  <si>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</si>
  <si>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</si>
  <si>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</si>
  <si>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</si>
  <si>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</si>
  <si>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</si>
  <si>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</si>
  <si>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</si>
  <si>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</si>
  <si>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</si>
  <si>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</si>
  <si>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</si>
  <si>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</si>
  <si>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</si>
  <si>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</si>
  <si>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</si>
  <si>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</si>
  <si>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</si>
  <si>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</si>
  <si>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</si>
  <si>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</si>
  <si>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</si>
  <si>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</si>
  <si>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</si>
  <si>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</si>
  <si>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</si>
  <si>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</si>
  <si>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</si>
  <si>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</si>
  <si>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</si>
  <si>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</si>
  <si>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</si>
  <si>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</si>
  <si>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</si>
  <si>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</si>
  <si>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</si>
  <si>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</si>
  <si>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</si>
  <si>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</si>
  <si>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</si>
  <si>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</si>
  <si>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</si>
  <si>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</si>
  <si>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</si>
  <si>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</si>
  <si>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</si>
  <si>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</si>
  <si>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</si>
  <si>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</si>
  <si>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</si>
  <si>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</si>
  <si>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</si>
  <si>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</si>
  <si>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</si>
  <si>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</si>
  <si>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</si>
  <si>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</si>
  <si>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</si>
  <si>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</si>
  <si>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</si>
  <si>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</si>
  <si>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</si>
  <si>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</si>
  <si>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</si>
  <si>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</si>
  <si>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</si>
  <si>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</si>
  <si>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</si>
  <si>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</si>
  <si>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</si>
  <si>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</si>
  <si>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</si>
  <si>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</si>
  <si>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</si>
  <si>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</si>
  <si>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</si>
  <si>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</si>
  <si>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</si>
  <si>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</si>
  <si>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</si>
  <si>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</si>
  <si>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</si>
  <si>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</si>
  <si>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</si>
  <si>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</si>
  <si>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</si>
  <si>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</si>
  <si>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</si>
  <si>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</si>
  <si>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</si>
  <si>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</si>
  <si>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</si>
  <si>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</si>
  <si>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</si>
  <si>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</si>
  <si>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</si>
  <si>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</si>
  <si>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</si>
  <si>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</si>
  <si>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</si>
  <si>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</si>
  <si>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</si>
  <si>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</si>
  <si>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</si>
  <si>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</si>
  <si>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</si>
  <si>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</si>
  <si>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</si>
  <si>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</si>
  <si>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</si>
  <si>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</si>
  <si>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</si>
  <si>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</si>
  <si>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</si>
  <si>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</si>
  <si>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</si>
  <si>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</si>
  <si>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</si>
  <si>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</si>
  <si>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</si>
  <si>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</si>
  <si>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</si>
  <si>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</si>
  <si>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</si>
  <si>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</si>
  <si>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</si>
  <si>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</si>
  <si>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</si>
  <si>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</si>
  <si>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</si>
  <si>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</si>
  <si>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</si>
  <si>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</si>
  <si>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</si>
  <si>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</si>
  <si>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</si>
  <si>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</si>
  <si>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</si>
  <si>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</si>
  <si>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</si>
  <si>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</si>
  <si>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</si>
  <si>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</si>
  <si>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</si>
  <si>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</si>
  <si>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</si>
  <si>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</si>
  <si>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</si>
  <si>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</si>
  <si>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</si>
  <si>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</si>
  <si>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</si>
  <si>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</si>
  <si>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</si>
  <si>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</si>
  <si>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</si>
  <si>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</si>
  <si>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</si>
  <si>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</si>
  <si>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</si>
  <si>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</si>
  <si>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</si>
  <si>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</si>
  <si>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</si>
  <si>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</si>
  <si>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</si>
  <si>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</si>
  <si>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</si>
  <si>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</si>
  <si>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</si>
  <si>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</si>
  <si>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</si>
  <si>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</si>
  <si>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</si>
  <si>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</si>
  <si>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</si>
  <si>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</si>
  <si>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</si>
  <si>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</si>
  <si>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</si>
  <si>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</si>
  <si>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</si>
  <si>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</si>
  <si>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</si>
  <si>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</si>
  <si>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</si>
  <si>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</si>
  <si>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</si>
  <si>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</si>
  <si>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</si>
  <si>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</si>
  <si>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</si>
  <si>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</si>
  <si>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</si>
  <si>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</si>
  <si>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</si>
  <si>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</si>
  <si>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</si>
  <si>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</si>
  <si>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</si>
  <si>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</si>
  <si>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</si>
  <si>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</si>
  <si>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</si>
  <si>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</si>
  <si>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</si>
  <si>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</si>
  <si>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</si>
  <si>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</si>
  <si>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</si>
  <si>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</si>
  <si>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</si>
  <si>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</si>
  <si>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</si>
  <si>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</si>
  <si>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</si>
  <si>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</si>
  <si>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</si>
  <si>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</si>
  <si>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</si>
  <si>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</si>
  <si>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</si>
  <si>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</si>
  <si>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</si>
  <si>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</si>
  <si>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</si>
  <si>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</si>
  <si>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</si>
  <si>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</si>
  <si>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</si>
  <si>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</si>
  <si>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</si>
  <si>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</si>
  <si>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</si>
  <si>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</si>
  <si>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</si>
  <si>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</si>
  <si>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</si>
  <si>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</si>
  <si>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</si>
  <si>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</si>
  <si>
    <t>OSPM parameters</t>
  </si>
  <si>
    <t>f_roof and f_turb</t>
  </si>
  <si>
    <t>use_multiple_save_dates_flag</t>
  </si>
  <si>
    <t>Set to 1 if using multiple saving dates in ther metadata sheet</t>
  </si>
  <si>
    <t>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</si>
</sst>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2" fillId="10" borderId="0" xfId="2"/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2823211</xdr:colOff>
      <xdr:row>7</xdr:row>
      <xdr:rowOff>152400</xdr:rowOff>
    </xdr:from>
    <xdr:to>
      <xdr:col>10</xdr:col>
      <xdr:colOff>440057</xdr:colOff>
      <xdr:row>13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0011" y="1638300"/>
          <a:ext cx="4371976" cy="110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abSelected="1" topLeftCell="A57" zoomScaleNormal="100" workbookViewId="0">
      <selection activeCell="C24" sqref="C24"/>
    </sheetView>
  </sheetViews>
  <sheetFormatPr defaultRowHeight="15" x14ac:dyDescent="0.25"/>
  <cols>
    <col min="1" max="1" width="41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/>
      <c r="G1" s="76" t="s">
        <v>281</v>
      </c>
    </row>
    <row r="2" spans="1:17" x14ac:dyDescent="0.25">
      <c r="E2" s="69"/>
      <c r="F2" s="69"/>
      <c r="G2" s="77"/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7</v>
      </c>
      <c r="I5" s="52">
        <v>16</v>
      </c>
      <c r="J5" s="52">
        <v>50</v>
      </c>
      <c r="K5" s="56">
        <v>70</v>
      </c>
      <c r="L5" s="57">
        <f>((2.493 + H5*0.144 - I5* 0.069 - J5*0.017))*K5/70</f>
        <v>1.5469999999999997</v>
      </c>
      <c r="M5" s="57">
        <f>((2.493 + H5*0.144 - I5* 0.069 - J5*0.017)*2.88)*K5/70</f>
        <v>4.4553599999999989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0.53999999999999992</v>
      </c>
      <c r="D6" s="10">
        <f>5*D7</f>
        <v>0.53999999999999992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B7/40*1.5</f>
        <v>0.10799999999999998</v>
      </c>
      <c r="D7" s="66">
        <f>B7/40*1.5</f>
        <v>0.10799999999999998</v>
      </c>
      <c r="E7" s="70"/>
      <c r="F7" s="6"/>
      <c r="G7" s="78"/>
      <c r="H7" s="48">
        <f>M5</f>
        <v>4.4553599999999989</v>
      </c>
      <c r="I7" s="49">
        <f>C7*K7</f>
        <v>0.16707599999999995</v>
      </c>
      <c r="J7" s="49">
        <f>D7*K7</f>
        <v>0.16707599999999995</v>
      </c>
      <c r="K7" s="50">
        <f>H7/B7</f>
        <v>1.5469999999999997</v>
      </c>
      <c r="O7" s="20"/>
      <c r="P7" s="20"/>
      <c r="Q7" s="20"/>
    </row>
    <row r="8" spans="1:17" ht="15" customHeight="1" thickBot="1" x14ac:dyDescent="0.3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409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410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411</v>
      </c>
      <c r="J19" s="10">
        <v>2.9</v>
      </c>
    </row>
    <row r="20" spans="1:11" ht="15" customHeight="1" thickBot="1" x14ac:dyDescent="0.3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412</v>
      </c>
      <c r="J20" s="10">
        <v>3.6</v>
      </c>
      <c r="K20" s="30"/>
    </row>
    <row r="21" spans="1:11" ht="15" customHeight="1" thickBot="1" x14ac:dyDescent="0.3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413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414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415</v>
      </c>
      <c r="J23" s="10">
        <v>2.56</v>
      </c>
    </row>
    <row r="24" spans="1:11" ht="16.5" thickBot="1" x14ac:dyDescent="0.35">
      <c r="A24" s="13" t="s">
        <v>91</v>
      </c>
      <c r="B24" s="10">
        <v>1</v>
      </c>
      <c r="C24" s="6"/>
      <c r="D24" s="6"/>
      <c r="E24" s="6"/>
      <c r="F24" s="6"/>
      <c r="G24" s="78">
        <v>5</v>
      </c>
      <c r="H24" s="9">
        <v>8</v>
      </c>
      <c r="I24" s="10" t="s">
        <v>416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417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418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419</v>
      </c>
      <c r="J27" s="10">
        <v>3.11</v>
      </c>
    </row>
    <row r="28" spans="1:11" ht="15.75" thickBot="1" x14ac:dyDescent="0.3">
      <c r="A28" s="9">
        <v>1</v>
      </c>
      <c r="B28" s="10" t="s">
        <v>412</v>
      </c>
      <c r="C28" s="10">
        <v>1</v>
      </c>
      <c r="D28" s="10">
        <v>1</v>
      </c>
      <c r="E28" s="6"/>
      <c r="F28" s="6"/>
      <c r="G28" s="78"/>
      <c r="H28" s="9">
        <v>12</v>
      </c>
      <c r="I28" s="10" t="s">
        <v>420</v>
      </c>
      <c r="J28" s="10">
        <v>3.83</v>
      </c>
    </row>
    <row r="29" spans="1:11" ht="15.75" thickBot="1" x14ac:dyDescent="0.3">
      <c r="A29" s="9">
        <v>2</v>
      </c>
      <c r="B29" s="10" t="s">
        <v>411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410</v>
      </c>
      <c r="C30" s="10">
        <v>2.3199999999999998</v>
      </c>
      <c r="D30" s="6"/>
      <c r="E30" s="6"/>
      <c r="F30" s="6"/>
      <c r="G30" s="78"/>
      <c r="H30" s="30" t="s">
        <v>421</v>
      </c>
      <c r="I30" s="20"/>
    </row>
    <row r="31" spans="1:11" ht="15.75" thickBot="1" x14ac:dyDescent="0.3">
      <c r="A31" s="9">
        <v>4</v>
      </c>
      <c r="B31" s="10" t="s">
        <v>409</v>
      </c>
      <c r="C31" s="10">
        <v>1.9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423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  <c r="H46" s="115">
        <v>40</v>
      </c>
      <c r="I46" s="6">
        <v>10</v>
      </c>
    </row>
    <row r="47" spans="1:10" ht="15.75" thickBot="1" x14ac:dyDescent="0.3">
      <c r="A47" s="9" t="s">
        <v>1</v>
      </c>
      <c r="B47" s="15">
        <f>$H$46*B48</f>
        <v>9.0000000000000006E-5</v>
      </c>
      <c r="C47" s="15">
        <f t="shared" ref="C47:D47" si="0">$H$46*C48</f>
        <v>9.0000000000000006E-5</v>
      </c>
      <c r="D47" s="15">
        <f t="shared" si="0"/>
        <v>9.0000000000000006E-5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0.0000015*H48</f>
        <v>2.2500000000000001E-6</v>
      </c>
      <c r="C48" s="15">
        <f>0.0000015*H48</f>
        <v>2.2500000000000001E-6</v>
      </c>
      <c r="D48" s="15">
        <f>0.0000015*H48</f>
        <v>2.2500000000000001E-6</v>
      </c>
      <c r="E48" s="73"/>
      <c r="F48" s="27"/>
      <c r="G48" s="83"/>
      <c r="H48" s="53">
        <v>1.5</v>
      </c>
      <c r="I48" s="6">
        <v>5</v>
      </c>
    </row>
    <row r="49" spans="1:12" ht="15" customHeight="1" thickBot="1" x14ac:dyDescent="0.3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400</v>
      </c>
      <c r="B50" s="68">
        <v>0</v>
      </c>
      <c r="C50" s="68">
        <v>1</v>
      </c>
      <c r="D50" s="68">
        <v>1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5.75" thickBot="1" x14ac:dyDescent="0.3">
      <c r="A51" s="5" t="s">
        <v>257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3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252</v>
      </c>
      <c r="B56" s="10">
        <v>200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3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 t="s">
        <v>430</v>
      </c>
      <c r="K65" s="20"/>
      <c r="L65" s="20"/>
    </row>
    <row r="66" spans="1:15" ht="15.75" thickBot="1" x14ac:dyDescent="0.3">
      <c r="A66" s="28" t="s">
        <v>2</v>
      </c>
      <c r="B66" s="17">
        <f>0.000001*$G$66</f>
        <v>9.9999999999999995E-7</v>
      </c>
      <c r="C66" s="17">
        <f>0.000001*$G$66</f>
        <v>9.9999999999999995E-7</v>
      </c>
      <c r="D66" s="17">
        <f>0.000001*$G$66</f>
        <v>9.9999999999999995E-7</v>
      </c>
      <c r="E66" s="6"/>
      <c r="F66" s="6"/>
      <c r="G66" s="78">
        <v>1</v>
      </c>
    </row>
    <row r="67" spans="1:15" ht="15" customHeight="1" thickBot="1" x14ac:dyDescent="0.3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35">
      <c r="A69" s="13" t="s">
        <v>302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319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/>
    </row>
    <row r="72" spans="1:15" ht="15.75" thickBot="1" x14ac:dyDescent="0.3">
      <c r="A72" s="9" t="s">
        <v>1</v>
      </c>
      <c r="B72" s="15">
        <f>10*B73</f>
        <v>0.01</v>
      </c>
      <c r="C72" s="15">
        <f>10*C73</f>
        <v>0.01</v>
      </c>
      <c r="D72" s="15">
        <f>10*D73</f>
        <v>0.01</v>
      </c>
      <c r="E72" s="6"/>
      <c r="F72" s="6"/>
      <c r="G72" s="78"/>
    </row>
    <row r="73" spans="1:15" ht="15.75" thickBot="1" x14ac:dyDescent="0.3">
      <c r="A73" s="28" t="s">
        <v>2</v>
      </c>
      <c r="B73" s="15">
        <v>1E-3</v>
      </c>
      <c r="C73" s="15">
        <v>1E-3</v>
      </c>
      <c r="D73" s="15">
        <v>1E-3</v>
      </c>
      <c r="E73" s="6"/>
      <c r="F73" s="6"/>
      <c r="G73" s="15">
        <v>9.9999999999999995E-7</v>
      </c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3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5.75" thickBot="1" x14ac:dyDescent="0.3">
      <c r="A77" s="5" t="s">
        <v>286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.5" thickBot="1" x14ac:dyDescent="0.3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.5" thickBot="1" x14ac:dyDescent="0.3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291</v>
      </c>
      <c r="B83" s="10">
        <v>0</v>
      </c>
      <c r="C83" s="10">
        <v>0</v>
      </c>
      <c r="D83" s="27"/>
      <c r="E83" s="6"/>
      <c r="F83" s="6"/>
      <c r="G83" s="78"/>
      <c r="O83"/>
    </row>
    <row r="84" spans="1:16" ht="16.5" thickBot="1" x14ac:dyDescent="0.35">
      <c r="A84" s="13" t="s">
        <v>292</v>
      </c>
      <c r="B84" s="10">
        <v>0</v>
      </c>
      <c r="C84" s="10">
        <v>0</v>
      </c>
      <c r="D84" s="27"/>
      <c r="E84" s="6"/>
      <c r="F84" s="6"/>
      <c r="G84" s="78"/>
      <c r="O84"/>
    </row>
    <row r="85" spans="1:16" ht="16.5" thickBot="1" x14ac:dyDescent="0.3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0.5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277</v>
      </c>
      <c r="B91" s="10">
        <v>0.5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0.5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3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.5" thickBot="1" x14ac:dyDescent="0.3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/>
      <c r="L99" s="20"/>
      <c r="M99" s="20"/>
    </row>
    <row r="100" spans="1:15" ht="16.5" thickBot="1" x14ac:dyDescent="0.3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236</v>
      </c>
      <c r="B101" s="10">
        <v>1</v>
      </c>
      <c r="C101" s="10">
        <v>0.05</v>
      </c>
      <c r="D101" s="114">
        <f>C101*0.16</f>
        <v>8.0000000000000002E-3</v>
      </c>
      <c r="E101" s="10">
        <f>C101*0.04</f>
        <v>2E-3</v>
      </c>
      <c r="F101" s="20"/>
      <c r="G101" s="81"/>
      <c r="L101" s="20"/>
      <c r="M101" s="20"/>
    </row>
    <row r="102" spans="1:15" ht="16.5" thickBot="1" x14ac:dyDescent="0.3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306</v>
      </c>
      <c r="B107" s="10">
        <v>1</v>
      </c>
      <c r="C107" s="10">
        <v>0.1</v>
      </c>
      <c r="D107" s="10">
        <v>0.02</v>
      </c>
      <c r="E107" s="10">
        <v>3.0000000000000001E-3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0</v>
      </c>
      <c r="D110" s="20"/>
      <c r="E110" s="6"/>
      <c r="F110" s="6"/>
      <c r="G110" s="93" t="s">
        <v>407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0.01</v>
      </c>
      <c r="C117" s="10">
        <f>D117</f>
        <v>0.01</v>
      </c>
      <c r="D117" s="10">
        <f>B117</f>
        <v>0.01</v>
      </c>
      <c r="E117" s="10">
        <f>B117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1E-3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0.02/2</f>
        <v>0.01</v>
      </c>
      <c r="C119" s="10">
        <f>B119</f>
        <v>0.01</v>
      </c>
      <c r="D119" s="10">
        <f>B119</f>
        <v>0.01</v>
      </c>
      <c r="E119" s="10">
        <f>B119</f>
        <v>0.01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337</v>
      </c>
      <c r="B137" s="21">
        <f>6*B138</f>
        <v>7.7999999999999999E-5</v>
      </c>
      <c r="C137" s="21">
        <f>6*C138</f>
        <v>7.7999999999999999E-6</v>
      </c>
      <c r="D137" s="21">
        <f>6*D138</f>
        <v>7.7999999999999994E-7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338</v>
      </c>
      <c r="B138" s="21">
        <f>0.00013*0.1</f>
        <v>1.2999999999999999E-5</v>
      </c>
      <c r="C138" s="21">
        <f>B138/10</f>
        <v>1.2999999999999998E-6</v>
      </c>
      <c r="D138" s="21">
        <f>B138/100</f>
        <v>1.3E-7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228</v>
      </c>
      <c r="B141" s="10">
        <v>3</v>
      </c>
      <c r="C141" s="10">
        <f>B141</f>
        <v>3</v>
      </c>
      <c r="D141" s="10">
        <f>B141</f>
        <v>3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229</v>
      </c>
      <c r="B142" s="10">
        <v>10</v>
      </c>
      <c r="C142" s="10">
        <v>10</v>
      </c>
      <c r="D142" s="10">
        <v>10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1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>
        <v>10</v>
      </c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356</v>
      </c>
      <c r="B158" s="10">
        <v>48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15.7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408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.5" thickBot="1" x14ac:dyDescent="0.35">
      <c r="A166" s="13" t="s">
        <v>115</v>
      </c>
      <c r="B166" s="10">
        <v>0.06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0.02</f>
        <v>0.02</v>
      </c>
      <c r="C167" s="22">
        <v>0.3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x14ac:dyDescent="0.25">
      <c r="A168" s="5" t="s">
        <v>426</v>
      </c>
      <c r="B168" s="20"/>
      <c r="C168" s="20"/>
      <c r="G168" s="84"/>
      <c r="H168" s="20"/>
      <c r="I168" s="20"/>
      <c r="J168"/>
      <c r="K168" s="95"/>
    </row>
    <row r="169" spans="1:15" x14ac:dyDescent="0.25">
      <c r="A169" s="19" t="s">
        <v>427</v>
      </c>
      <c r="B169" s="20">
        <v>0.4</v>
      </c>
      <c r="C169" s="20">
        <v>0.25</v>
      </c>
      <c r="G169" s="84"/>
      <c r="H169" s="20"/>
      <c r="I169" s="20"/>
      <c r="J169"/>
      <c r="K169" s="95"/>
    </row>
    <row r="170" spans="1:15" s="2" customFormat="1" ht="18" customHeight="1" x14ac:dyDescent="0.2">
      <c r="A170" s="3" t="s">
        <v>324</v>
      </c>
      <c r="B170" s="4"/>
      <c r="C170" s="4"/>
      <c r="D170" s="4"/>
      <c r="E170" s="4"/>
      <c r="F170" s="4"/>
      <c r="G170" s="78" t="s">
        <v>403</v>
      </c>
      <c r="H170" s="6"/>
      <c r="I170" s="6"/>
      <c r="J170" s="6"/>
      <c r="K170" s="6"/>
      <c r="L170" s="6"/>
      <c r="M170" s="6"/>
      <c r="N170" s="6"/>
      <c r="O170" s="6"/>
    </row>
    <row r="171" spans="1:15" ht="15.75" thickBot="1" x14ac:dyDescent="0.3">
      <c r="A171" s="5" t="s">
        <v>313</v>
      </c>
      <c r="G171" s="78"/>
    </row>
    <row r="172" spans="1:15" ht="15.75" thickBot="1" x14ac:dyDescent="0.3">
      <c r="A172" s="12" t="s">
        <v>316</v>
      </c>
      <c r="B172" s="8" t="s">
        <v>317</v>
      </c>
      <c r="C172" s="8" t="s">
        <v>323</v>
      </c>
      <c r="G172" s="78"/>
    </row>
    <row r="173" spans="1:15" ht="16.5" thickBot="1" x14ac:dyDescent="0.35">
      <c r="A173" s="44" t="s">
        <v>113</v>
      </c>
      <c r="B173" s="10">
        <f>1+(C173-1)*0.5</f>
        <v>1</v>
      </c>
      <c r="C173" s="10">
        <v>1</v>
      </c>
      <c r="G173" s="78"/>
    </row>
    <row r="174" spans="1:15" ht="16.5" thickBot="1" x14ac:dyDescent="0.35">
      <c r="A174" s="7" t="s">
        <v>96</v>
      </c>
      <c r="B174" s="10">
        <f>1+(1/C173-1)*1</f>
        <v>1</v>
      </c>
      <c r="G174" s="78"/>
    </row>
    <row r="175" spans="1:15" ht="16.5" thickBot="1" x14ac:dyDescent="0.35">
      <c r="A175" s="13" t="s">
        <v>110</v>
      </c>
      <c r="B175" s="10">
        <f>1+(1/C173-1)*1</f>
        <v>1</v>
      </c>
      <c r="G175" s="78"/>
    </row>
    <row r="176" spans="1:15" ht="16.5" thickBot="1" x14ac:dyDescent="0.35">
      <c r="A176" s="13" t="s">
        <v>314</v>
      </c>
      <c r="B176" s="10">
        <f>1+(1/C173-1)*1</f>
        <v>1</v>
      </c>
      <c r="G176" s="78"/>
    </row>
    <row r="177" spans="1:12" ht="16.5" thickBot="1" x14ac:dyDescent="0.35">
      <c r="A177" s="13" t="s">
        <v>315</v>
      </c>
      <c r="B177" s="10">
        <f>1+(1/C173-1)*1</f>
        <v>1</v>
      </c>
      <c r="G177" s="78"/>
    </row>
    <row r="178" spans="1:12" ht="15.75" thickBot="1" x14ac:dyDescent="0.3">
      <c r="A178" s="5" t="s">
        <v>325</v>
      </c>
      <c r="G178" s="78"/>
    </row>
    <row r="179" spans="1:12" ht="15.75" thickBot="1" x14ac:dyDescent="0.3">
      <c r="A179" s="12" t="s">
        <v>328</v>
      </c>
      <c r="B179" s="8" t="s">
        <v>334</v>
      </c>
      <c r="C179" s="8" t="s">
        <v>326</v>
      </c>
      <c r="D179" s="8" t="s">
        <v>327</v>
      </c>
      <c r="E179" s="87" t="s">
        <v>345</v>
      </c>
      <c r="F179" s="58"/>
      <c r="G179" s="79"/>
    </row>
    <row r="180" spans="1:12" ht="18.75" customHeight="1" thickBot="1" x14ac:dyDescent="0.35">
      <c r="A180" s="13" t="s">
        <v>333</v>
      </c>
      <c r="B180" s="10">
        <v>1</v>
      </c>
      <c r="C180" s="10">
        <v>1</v>
      </c>
      <c r="D180" s="10">
        <v>1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332</v>
      </c>
      <c r="B181" s="10">
        <v>0</v>
      </c>
      <c r="C181" s="10">
        <v>0.9</v>
      </c>
      <c r="D181" s="10">
        <v>0.9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331</v>
      </c>
      <c r="B182" s="10">
        <v>0</v>
      </c>
      <c r="C182" s="10">
        <v>0.1</v>
      </c>
      <c r="D182" s="10">
        <v>0.08</v>
      </c>
      <c r="E182" s="88">
        <v>0.01</v>
      </c>
      <c r="F182" s="20"/>
      <c r="G182" s="81"/>
      <c r="H182" s="27"/>
      <c r="K182" s="20"/>
      <c r="L182" s="20"/>
    </row>
    <row r="183" spans="1:12" ht="18.75" customHeight="1" thickBot="1" x14ac:dyDescent="0.35">
      <c r="A183" s="13" t="s">
        <v>330</v>
      </c>
      <c r="B183" s="10">
        <v>0</v>
      </c>
      <c r="C183" s="10">
        <v>0</v>
      </c>
      <c r="D183" s="10">
        <v>0.01</v>
      </c>
      <c r="E183" s="88">
        <v>0.01</v>
      </c>
      <c r="F183" s="20"/>
      <c r="G183" s="81"/>
      <c r="H183" s="27"/>
      <c r="K183" s="20"/>
      <c r="L183" s="20"/>
    </row>
    <row r="184" spans="1:12" ht="18.75" customHeight="1" thickBot="1" x14ac:dyDescent="0.35">
      <c r="A184" s="13" t="s">
        <v>329</v>
      </c>
      <c r="B184" s="10">
        <v>0</v>
      </c>
      <c r="C184" s="10">
        <v>0</v>
      </c>
      <c r="D184" s="10">
        <v>0.01</v>
      </c>
      <c r="E184" s="88">
        <v>0.01</v>
      </c>
      <c r="F184" s="20"/>
      <c r="G184" s="81"/>
      <c r="H184" s="27"/>
      <c r="K184" s="20"/>
      <c r="L184" s="20"/>
    </row>
    <row r="185" spans="1:12" ht="15.75" thickBot="1" x14ac:dyDescent="0.3">
      <c r="A185" s="12" t="s">
        <v>328</v>
      </c>
      <c r="B185" s="87" t="s">
        <v>342</v>
      </c>
      <c r="C185" s="87" t="s">
        <v>343</v>
      </c>
      <c r="D185" s="87" t="s">
        <v>344</v>
      </c>
      <c r="E185" s="87" t="s">
        <v>344</v>
      </c>
      <c r="F185" s="58"/>
      <c r="G185" s="79"/>
    </row>
    <row r="186" spans="1:12" ht="18.75" customHeight="1" thickBot="1" x14ac:dyDescent="0.35">
      <c r="A186" s="13" t="s">
        <v>333</v>
      </c>
      <c r="B186" s="88">
        <v>1</v>
      </c>
      <c r="C186" s="88">
        <v>1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332</v>
      </c>
      <c r="B187" s="88">
        <v>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331</v>
      </c>
      <c r="B188" s="88">
        <v>100</v>
      </c>
      <c r="C188" s="88">
        <v>100</v>
      </c>
      <c r="D188" s="88">
        <v>0</v>
      </c>
      <c r="E188" s="88">
        <v>0</v>
      </c>
      <c r="F188" s="20"/>
      <c r="G188" s="81"/>
      <c r="H188" s="27"/>
      <c r="K188" s="20"/>
      <c r="L188" s="20"/>
    </row>
    <row r="189" spans="1:12" ht="18.75" customHeight="1" thickBot="1" x14ac:dyDescent="0.35">
      <c r="A189" s="13" t="s">
        <v>330</v>
      </c>
      <c r="B189" s="88">
        <v>0.1</v>
      </c>
      <c r="C189" s="88">
        <v>1</v>
      </c>
      <c r="D189" s="88">
        <v>0</v>
      </c>
      <c r="E189" s="88">
        <v>0</v>
      </c>
      <c r="F189" s="20"/>
      <c r="G189" s="81"/>
      <c r="H189" s="27"/>
      <c r="K189" s="20"/>
      <c r="L189" s="20"/>
    </row>
    <row r="190" spans="1:12" ht="18.75" customHeight="1" thickBot="1" x14ac:dyDescent="0.35">
      <c r="A190" s="13" t="s">
        <v>329</v>
      </c>
      <c r="B190" s="88">
        <v>0.1</v>
      </c>
      <c r="C190" s="88">
        <v>1</v>
      </c>
      <c r="D190" s="88">
        <v>0</v>
      </c>
      <c r="E190" s="88">
        <v>0</v>
      </c>
      <c r="F190" s="20"/>
      <c r="G190" s="81"/>
      <c r="H190" s="27"/>
      <c r="K190" s="20"/>
      <c r="L190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zoomScaleNormal="100" workbookViewId="0">
      <selection activeCell="C10" sqref="C10"/>
    </sheetView>
  </sheetViews>
  <sheetFormatPr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5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5">
      <c r="A9" s="102" t="s">
        <v>63</v>
      </c>
      <c r="B9" s="103">
        <v>0</v>
      </c>
      <c r="C9" s="102" t="s">
        <v>309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5">
      <c r="A16" s="102" t="s">
        <v>34</v>
      </c>
      <c r="B16" s="103">
        <v>1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5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424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2</v>
      </c>
      <c r="C22" s="102" t="s">
        <v>425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2</v>
      </c>
      <c r="C25" s="102" t="s">
        <v>406</v>
      </c>
      <c r="D25" s="103">
        <v>1</v>
      </c>
    </row>
    <row r="26" spans="1:4" x14ac:dyDescent="0.25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5">
      <c r="A27" s="99" t="s">
        <v>57</v>
      </c>
      <c r="B27" s="100"/>
      <c r="C27" s="101"/>
      <c r="D27" s="100"/>
    </row>
    <row r="28" spans="1:4" ht="17.25" customHeight="1" x14ac:dyDescent="0.25">
      <c r="A28" s="102" t="s">
        <v>271</v>
      </c>
      <c r="B28" s="103">
        <v>1</v>
      </c>
      <c r="C28" s="102" t="s">
        <v>273</v>
      </c>
      <c r="D28" s="103">
        <v>1</v>
      </c>
    </row>
    <row r="29" spans="1:4" ht="15.75" customHeight="1" x14ac:dyDescent="0.25">
      <c r="A29" s="102" t="s">
        <v>272</v>
      </c>
      <c r="B29" s="103">
        <v>1</v>
      </c>
      <c r="C29" s="102" t="s">
        <v>274</v>
      </c>
      <c r="D29" s="103">
        <v>1</v>
      </c>
    </row>
    <row r="30" spans="1:4" x14ac:dyDescent="0.25">
      <c r="A30" s="102" t="s">
        <v>50</v>
      </c>
      <c r="B30" s="103">
        <v>1</v>
      </c>
      <c r="C30" s="102" t="s">
        <v>53</v>
      </c>
      <c r="D30" s="103">
        <v>1</v>
      </c>
    </row>
    <row r="31" spans="1:4" x14ac:dyDescent="0.25">
      <c r="A31" s="102" t="s">
        <v>51</v>
      </c>
      <c r="B31" s="103">
        <v>1</v>
      </c>
      <c r="C31" s="102" t="s">
        <v>54</v>
      </c>
      <c r="D31" s="103">
        <v>1</v>
      </c>
    </row>
    <row r="32" spans="1:4" x14ac:dyDescent="0.25">
      <c r="A32" s="102" t="s">
        <v>72</v>
      </c>
      <c r="B32" s="103">
        <v>1</v>
      </c>
      <c r="C32" s="102" t="s">
        <v>71</v>
      </c>
      <c r="D32" s="103">
        <v>1</v>
      </c>
    </row>
    <row r="33" spans="1:4" x14ac:dyDescent="0.25">
      <c r="A33" s="102" t="s">
        <v>52</v>
      </c>
      <c r="B33" s="103">
        <v>1</v>
      </c>
      <c r="C33" s="102" t="s">
        <v>267</v>
      </c>
      <c r="D33" s="103">
        <v>1</v>
      </c>
    </row>
    <row r="34" spans="1:4" x14ac:dyDescent="0.25">
      <c r="A34" s="102" t="s">
        <v>41</v>
      </c>
      <c r="B34" s="103">
        <v>1</v>
      </c>
      <c r="C34" s="102" t="s">
        <v>393</v>
      </c>
      <c r="D34" s="103">
        <v>0</v>
      </c>
    </row>
    <row r="35" spans="1:4" x14ac:dyDescent="0.25">
      <c r="A35" s="102" t="s">
        <v>388</v>
      </c>
      <c r="B35" s="103">
        <v>0</v>
      </c>
      <c r="C35" s="102" t="s">
        <v>394</v>
      </c>
      <c r="D35" s="103">
        <v>0</v>
      </c>
    </row>
    <row r="36" spans="1:4" x14ac:dyDescent="0.25">
      <c r="A36" s="102" t="s">
        <v>42</v>
      </c>
      <c r="B36" s="103">
        <v>0</v>
      </c>
      <c r="C36" s="102" t="s">
        <v>322</v>
      </c>
      <c r="D36" s="103">
        <v>0</v>
      </c>
    </row>
    <row r="37" spans="1:4" x14ac:dyDescent="0.25">
      <c r="A37" s="102" t="s">
        <v>43</v>
      </c>
      <c r="B37" s="103">
        <v>1</v>
      </c>
      <c r="C37" s="102" t="s">
        <v>321</v>
      </c>
      <c r="D37" s="103">
        <v>1</v>
      </c>
    </row>
    <row r="38" spans="1:4" x14ac:dyDescent="0.25">
      <c r="A38" s="102" t="s">
        <v>198</v>
      </c>
      <c r="B38" s="103">
        <v>0</v>
      </c>
      <c r="C38" s="102" t="s">
        <v>268</v>
      </c>
      <c r="D38" s="103">
        <v>0</v>
      </c>
    </row>
    <row r="39" spans="1:4" ht="18.75" customHeight="1" x14ac:dyDescent="0.25">
      <c r="A39" s="99" t="s">
        <v>59</v>
      </c>
      <c r="B39" s="100"/>
      <c r="C39" s="101"/>
      <c r="D39" s="100"/>
    </row>
    <row r="40" spans="1:4" ht="16.5" customHeight="1" x14ac:dyDescent="0.25">
      <c r="A40" s="102" t="s">
        <v>36</v>
      </c>
      <c r="B40" s="103">
        <v>2</v>
      </c>
      <c r="C40" s="102" t="s">
        <v>308</v>
      </c>
      <c r="D40" s="103">
        <v>2</v>
      </c>
    </row>
    <row r="41" spans="1:4" ht="16.5" customHeight="1" x14ac:dyDescent="0.25">
      <c r="A41" s="102" t="s">
        <v>428</v>
      </c>
      <c r="B41" s="103">
        <v>0</v>
      </c>
      <c r="C41" s="102" t="s">
        <v>429</v>
      </c>
      <c r="D41" s="103">
        <v>0</v>
      </c>
    </row>
    <row r="42" spans="1:4" x14ac:dyDescent="0.25">
      <c r="A42" s="102" t="s">
        <v>37</v>
      </c>
      <c r="B42" s="103">
        <v>0</v>
      </c>
      <c r="C42" s="102" t="s">
        <v>227</v>
      </c>
      <c r="D42" s="103">
        <v>1</v>
      </c>
    </row>
    <row r="43" spans="1:4" ht="18.75" customHeight="1" x14ac:dyDescent="0.25">
      <c r="A43" s="99" t="s">
        <v>210</v>
      </c>
      <c r="B43" s="100"/>
      <c r="C43" s="101"/>
      <c r="D43" s="100"/>
    </row>
    <row r="44" spans="1:4" ht="16.5" customHeight="1" x14ac:dyDescent="0.25">
      <c r="A44" s="102" t="s">
        <v>211</v>
      </c>
      <c r="B44" s="103">
        <v>1</v>
      </c>
      <c r="C44" s="102" t="s">
        <v>405</v>
      </c>
      <c r="D44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14" workbookViewId="0">
      <selection activeCell="C9" sqref="C9"/>
    </sheetView>
  </sheetViews>
  <sheetFormatPr defaultRowHeight="15" x14ac:dyDescent="0.25"/>
  <cols>
    <col min="1" max="1" width="30.28515625" bestFit="1" customWidth="1"/>
    <col min="3" max="3" width="89.5703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422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10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14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396</v>
      </c>
    </row>
    <row r="26" spans="1:3" x14ac:dyDescent="0.25">
      <c r="A26" s="109" t="s">
        <v>163</v>
      </c>
      <c r="B26" s="110">
        <v>250</v>
      </c>
      <c r="C26" s="113" t="s">
        <v>187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193</v>
      </c>
      <c r="B29" s="107" t="s">
        <v>15</v>
      </c>
      <c r="C29" s="108" t="s">
        <v>148</v>
      </c>
    </row>
    <row r="30" spans="1:3" x14ac:dyDescent="0.25">
      <c r="A30" s="109" t="s">
        <v>216</v>
      </c>
      <c r="B30" s="110">
        <v>3</v>
      </c>
      <c r="C30" s="113" t="s">
        <v>197</v>
      </c>
    </row>
    <row r="31" spans="1:3" x14ac:dyDescent="0.25">
      <c r="A31" s="109" t="s">
        <v>215</v>
      </c>
      <c r="B31" s="110"/>
      <c r="C31" s="113" t="s">
        <v>217</v>
      </c>
    </row>
    <row r="32" spans="1:3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109" t="s">
        <v>218</v>
      </c>
      <c r="B34" s="110">
        <f>24*3</f>
        <v>72</v>
      </c>
      <c r="C34" s="113" t="s">
        <v>214</v>
      </c>
    </row>
    <row r="35" spans="1:5" x14ac:dyDescent="0.25">
      <c r="A35" s="109" t="s">
        <v>219</v>
      </c>
      <c r="B35" s="110">
        <v>0</v>
      </c>
      <c r="C35" s="113" t="s">
        <v>205</v>
      </c>
    </row>
    <row r="36" spans="1:5" x14ac:dyDescent="0.25">
      <c r="A36" s="109" t="s">
        <v>220</v>
      </c>
      <c r="B36" s="110">
        <v>11</v>
      </c>
      <c r="C36" s="113" t="s">
        <v>206</v>
      </c>
    </row>
    <row r="37" spans="1:5" x14ac:dyDescent="0.25">
      <c r="A37" s="109" t="s">
        <v>221</v>
      </c>
      <c r="B37" s="110">
        <v>4</v>
      </c>
      <c r="C37" s="113" t="s">
        <v>207</v>
      </c>
    </row>
    <row r="38" spans="1:5" x14ac:dyDescent="0.25">
      <c r="A38" s="109" t="s">
        <v>200</v>
      </c>
      <c r="B38" s="110">
        <v>0</v>
      </c>
      <c r="C38" s="113" t="s">
        <v>208</v>
      </c>
    </row>
    <row r="39" spans="1:5" x14ac:dyDescent="0.25">
      <c r="A39" s="109" t="s">
        <v>222</v>
      </c>
      <c r="B39" s="110">
        <v>0.6</v>
      </c>
      <c r="C39" s="113" t="s">
        <v>223</v>
      </c>
    </row>
    <row r="40" spans="1:5" x14ac:dyDescent="0.25">
      <c r="A40" s="109" t="s">
        <v>269</v>
      </c>
      <c r="B40" s="110">
        <v>0.1</v>
      </c>
      <c r="C40" s="113" t="s">
        <v>270</v>
      </c>
    </row>
    <row r="41" spans="1:5" x14ac:dyDescent="0.25">
      <c r="A41" s="2"/>
      <c r="B41" s="2"/>
      <c r="C41" s="112"/>
    </row>
    <row r="42" spans="1:5" x14ac:dyDescent="0.25">
      <c r="A42" s="107" t="s">
        <v>366</v>
      </c>
      <c r="B42" s="107" t="s">
        <v>15</v>
      </c>
      <c r="C42" s="108" t="s">
        <v>386</v>
      </c>
    </row>
    <row r="43" spans="1:5" x14ac:dyDescent="0.25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5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5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5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5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5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5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5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5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5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5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5">
      <c r="A54" s="109" t="s">
        <v>378</v>
      </c>
      <c r="B54" s="110">
        <v>11</v>
      </c>
      <c r="C54" s="113" t="s">
        <v>380</v>
      </c>
    </row>
    <row r="55" spans="1:5" x14ac:dyDescent="0.25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2024-03-11T13:11:36Z</dcterms:modified>
</cp:coreProperties>
</file>