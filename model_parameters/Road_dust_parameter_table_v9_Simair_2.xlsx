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geoford\utvecklingsprojekt\2023\UF-18_Nortrip_2023\01_Berakning\NORTRIP_model_public_v3_3\model_parameters\"/>
    </mc:Choice>
  </mc:AlternateContent>
  <xr:revisionPtr revIDLastSave="0" documentId="13_ncr:1_{CD73E4AE-D38B-436F-AB5B-A4145CDD4A17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Parameters" sheetId="1" r:id="rId1"/>
    <sheet name="Flags" sheetId="2" r:id="rId2"/>
    <sheet name="Activities" sheetId="3" r:id="rId3"/>
  </sheets>
  <calcPr calcId="191029"/>
</workbook>
</file>

<file path=xl/calcChain.xml><?xml version="1.0" encoding="utf-8"?>
<calcChain xmlns="http://schemas.openxmlformats.org/spreadsheetml/2006/main">
  <c r="D137" i="1" l="1"/>
  <c r="D138" i="1"/>
  <c r="C137" i="1"/>
  <c r="B119" i="1"/>
  <c r="E103" i="1"/>
  <c r="E102" i="1"/>
  <c r="E98" i="1"/>
  <c r="E101" i="1"/>
  <c r="D101" i="1"/>
  <c r="D47" i="1"/>
  <c r="C47" i="1"/>
  <c r="B47" i="1"/>
  <c r="B48" i="1"/>
  <c r="B18" i="1"/>
  <c r="D12" i="1"/>
  <c r="C12" i="1"/>
  <c r="B12" i="1"/>
  <c r="D18" i="1"/>
  <c r="C18" i="1"/>
  <c r="D7" i="1"/>
  <c r="C7" i="1"/>
  <c r="C108" i="1" l="1"/>
  <c r="C107" i="1"/>
  <c r="C106" i="1"/>
  <c r="C105" i="1"/>
  <c r="D98" i="1"/>
  <c r="H138" i="1"/>
  <c r="J138" i="1" s="1"/>
  <c r="B167" i="1"/>
  <c r="E105" i="1" l="1"/>
  <c r="E106" i="1"/>
  <c r="D105" i="1"/>
  <c r="D106" i="1"/>
  <c r="I138" i="1"/>
  <c r="H167" i="1"/>
  <c r="J36" i="1" l="1"/>
  <c r="J33" i="1"/>
  <c r="B7" i="1" l="1"/>
  <c r="E117" i="1" l="1"/>
  <c r="D117" i="1"/>
  <c r="C117" i="1" s="1"/>
  <c r="E120" i="1" l="1"/>
  <c r="D120" i="1"/>
  <c r="C120" i="1"/>
  <c r="B171" i="1" l="1"/>
  <c r="B172" i="1" l="1"/>
  <c r="C119" i="1" l="1"/>
  <c r="D119" i="1" l="1"/>
  <c r="M5" i="1"/>
  <c r="H7" i="1" s="1"/>
  <c r="K7" i="1" s="1"/>
  <c r="L5" i="1"/>
  <c r="C6" i="1"/>
  <c r="E119" i="1" l="1"/>
  <c r="B175" i="1" l="1"/>
  <c r="B174" i="1"/>
  <c r="B173" i="1"/>
  <c r="D48" i="1" l="1"/>
  <c r="B65" i="1" l="1"/>
  <c r="C65" i="1"/>
  <c r="D65" i="1"/>
  <c r="H159" i="1" l="1"/>
  <c r="H160" i="1" s="1"/>
  <c r="I7" i="1" l="1"/>
  <c r="J7" i="1"/>
  <c r="D6" i="1"/>
  <c r="B6" i="1"/>
  <c r="C48" i="1" l="1"/>
  <c r="B162" i="1" l="1"/>
  <c r="C72" i="1" l="1"/>
  <c r="D72" i="1"/>
  <c r="B72" i="1"/>
</calcChain>
</file>

<file path=xl/sharedStrings.xml><?xml version="1.0" encoding="utf-8"?>
<sst xmlns="http://schemas.openxmlformats.org/spreadsheetml/2006/main" count="546" uniqueCount="439">
  <si>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</si>
  <si>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</si>
  <si>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</si>
  <si>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</si>
  <si>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</si>
  <si>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</si>
  <si>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</si>
  <si>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</si>
  <si>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</si>
  <si>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</si>
  <si>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</si>
  <si>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</si>
  <si>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</si>
  <si>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</si>
  <si>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</si>
  <si>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</si>
  <si>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</si>
  <si>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</si>
  <si>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</si>
  <si>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</si>
  <si>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</si>
  <si>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</si>
  <si>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</si>
  <si>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</si>
  <si>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</si>
  <si>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</si>
  <si>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</si>
  <si>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</si>
  <si>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</si>
  <si>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</si>
  <si>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</si>
  <si>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</si>
  <si>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</si>
  <si>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</si>
  <si>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</si>
  <si>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</si>
  <si>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</si>
  <si>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</si>
  <si>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</si>
  <si>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</si>
  <si>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</si>
  <si>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</si>
  <si>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</si>
  <si>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</si>
  <si>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</si>
  <si>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</si>
  <si>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</si>
  <si>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</si>
  <si>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</si>
  <si>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</si>
  <si>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</si>
  <si>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</si>
  <si>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</si>
  <si>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</si>
  <si>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</si>
  <si>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</si>
  <si>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</si>
  <si>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</si>
  <si>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</si>
  <si>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</si>
  <si>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</si>
  <si>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</si>
  <si>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</si>
  <si>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</si>
  <si>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</si>
  <si>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</si>
  <si>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</si>
  <si>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</si>
  <si>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</si>
  <si>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</si>
  <si>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</si>
  <si>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</si>
  <si>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</si>
  <si>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</si>
  <si>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</si>
  <si>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</si>
  <si>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</si>
  <si>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</si>
  <si>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</si>
  <si>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</si>
  <si>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</si>
  <si>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</si>
  <si>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</si>
  <si>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</si>
  <si>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</si>
  <si>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</si>
  <si>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</si>
  <si>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</si>
  <si>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</si>
  <si>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</si>
  <si>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</si>
  <si>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</si>
  <si>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</si>
  <si>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</si>
  <si>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</si>
  <si>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</si>
  <si>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</si>
  <si>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</si>
  <si>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</si>
  <si>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</si>
  <si>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</si>
  <si>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</si>
  <si>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</si>
  <si>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</si>
  <si>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</si>
  <si>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</si>
  <si>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</si>
  <si>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</si>
  <si>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</si>
  <si>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</si>
  <si>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</si>
  <si>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</si>
  <si>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</si>
  <si>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</si>
  <si>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</si>
  <si>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</si>
  <si>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</si>
  <si>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</si>
  <si>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</si>
  <si>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</si>
  <si>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</si>
  <si>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</si>
  <si>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</si>
  <si>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</si>
  <si>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</si>
  <si>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</si>
  <si>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</si>
  <si>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</si>
  <si>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</si>
  <si>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</si>
  <si>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</si>
  <si>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</si>
  <si>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</si>
  <si>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</si>
  <si>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</si>
  <si>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</si>
  <si>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</si>
  <si>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</si>
  <si>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</si>
  <si>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</si>
  <si>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</si>
  <si>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</si>
  <si>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</si>
  <si>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</si>
  <si>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</si>
  <si>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</si>
  <si>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</si>
  <si>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</si>
  <si>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</si>
  <si>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</si>
  <si>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</si>
  <si>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</si>
  <si>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</si>
  <si>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</si>
  <si>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</si>
  <si>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</si>
  <si>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</si>
  <si>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</si>
  <si>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</si>
  <si>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</si>
  <si>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</si>
  <si>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</si>
  <si>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</si>
  <si>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</si>
  <si>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</si>
  <si>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</si>
  <si>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</si>
  <si>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</si>
  <si>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</si>
  <si>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</si>
  <si>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</si>
  <si>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</si>
  <si>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</si>
  <si>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</si>
  <si>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</si>
  <si>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</si>
  <si>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</si>
  <si>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</si>
  <si>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</si>
  <si>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</si>
  <si>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</si>
  <si>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</si>
  <si>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</si>
  <si>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</si>
  <si>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</si>
  <si>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</si>
  <si>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</si>
  <si>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</si>
  <si>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</si>
  <si>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</si>
  <si>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</si>
  <si>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</si>
  <si>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</si>
  <si>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</si>
  <si>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</si>
  <si>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</si>
  <si>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</si>
  <si>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</si>
  <si>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</si>
  <si>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</si>
  <si>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</si>
  <si>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</si>
  <si>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</si>
  <si>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</si>
  <si>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</si>
  <si>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</si>
  <si>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</si>
  <si>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</si>
  <si>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</si>
  <si>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</si>
  <si>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</si>
  <si>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</si>
  <si>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</si>
  <si>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</si>
  <si>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</si>
  <si>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</si>
  <si>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</si>
  <si>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</si>
  <si>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</si>
  <si>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</si>
  <si>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</si>
  <si>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</si>
  <si>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</si>
  <si>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</si>
  <si>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</si>
  <si>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</si>
  <si>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</si>
  <si>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</si>
  <si>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</si>
  <si>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</si>
  <si>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</si>
  <si>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</si>
  <si>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</si>
  <si>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</si>
  <si>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</si>
  <si>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</si>
  <si>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</si>
  <si>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</si>
  <si>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</si>
  <si>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</si>
  <si>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</si>
  <si>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</si>
  <si>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</si>
  <si>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</si>
  <si>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</si>
  <si>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</si>
  <si>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</si>
  <si>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</si>
  <si>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</si>
  <si>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</si>
  <si>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</si>
  <si>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</si>
  <si>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</si>
  <si>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</si>
  <si>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</si>
  <si>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</si>
  <si>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</si>
  <si>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</si>
  <si>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</si>
  <si>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</si>
  <si>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</si>
  <si>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</si>
  <si>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</si>
  <si>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</si>
  <si>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</si>
  <si>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</si>
  <si>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</si>
  <si>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</si>
  <si>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</si>
  <si>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</si>
  <si>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</si>
  <si>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</si>
  <si>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</si>
  <si>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</si>
  <si>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</si>
  <si>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</si>
  <si>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</si>
  <si>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</si>
  <si>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</si>
  <si>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</si>
  <si>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</si>
  <si>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</si>
  <si>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</si>
  <si>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</si>
  <si>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</si>
  <si>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</si>
  <si>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</si>
  <si>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</si>
  <si>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</si>
  <si>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</si>
  <si>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</si>
  <si>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</si>
  <si>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</si>
  <si>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</si>
  <si>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</si>
  <si>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</si>
  <si>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</si>
  <si>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</si>
  <si>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</si>
  <si>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</si>
  <si>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</si>
  <si>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</si>
  <si>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</si>
  <si>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</si>
  <si>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</si>
  <si>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</si>
  <si>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</si>
  <si>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</si>
  <si>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</si>
  <si>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</si>
  <si>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</si>
  <si>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</si>
  <si>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</si>
  <si>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</si>
  <si>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</si>
  <si>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</si>
  <si>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</si>
  <si>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</si>
  <si>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</si>
  <si>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</si>
  <si>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</si>
  <si>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</si>
  <si>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</si>
  <si>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</si>
  <si>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</si>
  <si>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</si>
  <si>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</si>
  <si>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</si>
  <si>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</si>
  <si>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</si>
  <si>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</si>
  <si>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</si>
  <si>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</si>
  <si>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</si>
  <si>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</si>
  <si>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</si>
  <si>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</si>
  <si>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</si>
  <si>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</si>
  <si>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</si>
  <si>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</si>
  <si>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</si>
  <si>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</si>
  <si>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</si>
  <si>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</si>
  <si>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</si>
  <si>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</si>
  <si>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</si>
  <si>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</si>
  <si>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</si>
  <si>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</si>
  <si>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</si>
  <si>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</si>
  <si>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</si>
  <si>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</si>
  <si>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</si>
  <si>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</si>
  <si>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</si>
  <si>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</si>
  <si>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</si>
  <si>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</si>
  <si>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</si>
  <si>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</si>
  <si>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</si>
  <si>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</si>
  <si>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</si>
  <si>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</si>
  <si>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</si>
  <si>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</si>
  <si>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</si>
  <si>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</si>
  <si>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</si>
  <si>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</si>
  <si>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</si>
  <si>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</si>
  <si>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</si>
  <si>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</si>
  <si>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</si>
  <si>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</si>
  <si>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</si>
  <si>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</si>
  <si>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</si>
  <si>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</si>
  <si>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</si>
  <si>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</si>
  <si>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</si>
  <si>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</si>
  <si>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</si>
  <si>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</si>
  <si>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</si>
  <si>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</si>
  <si>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</si>
  <si>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</si>
  <si>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</si>
  <si>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</si>
  <si>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</si>
  <si>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</si>
  <si>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</si>
  <si>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</si>
  <si>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</si>
  <si>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</si>
  <si>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</si>
  <si>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</si>
  <si>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</si>
  <si>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</si>
  <si>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</si>
  <si>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</si>
  <si>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</si>
  <si>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</si>
  <si>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</si>
  <si>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</si>
  <si>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</si>
  <si>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</si>
  <si>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</si>
  <si>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</si>
  <si>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</si>
  <si>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</si>
  <si>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</si>
  <si>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</si>
  <si>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</si>
  <si>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</si>
  <si>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</si>
  <si>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</si>
  <si>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Allows road salt concentrations to influence the surface humidity and melt temperature.</t>
  </si>
  <si>
    <t>1  = energy balance with ice and sub-surface, 0 = none, 2 = as 1 but counts hoar frost as snow, not ice.</t>
  </si>
  <si>
    <t xml:space="preserve">Hornsgatan              </t>
  </si>
  <si>
    <t xml:space="preserve">Mannerheimintie         </t>
  </si>
  <si>
    <t xml:space="preserve">Essingeleden            </t>
  </si>
  <si>
    <t xml:space="preserve">RV4                     </t>
  </si>
  <si>
    <t xml:space="preserve">NB_sletta               </t>
  </si>
  <si>
    <t xml:space="preserve">HCAB_before_2008        </t>
  </si>
  <si>
    <t xml:space="preserve">Runeberg                </t>
  </si>
  <si>
    <t xml:space="preserve">HCAB_after_2008         </t>
  </si>
  <si>
    <t xml:space="preserve">Stavanger               </t>
  </si>
  <si>
    <t xml:space="preserve">Finish                  </t>
  </si>
  <si>
    <t>cleaning_hour(1) (hour)</t>
  </si>
  <si>
    <t>cleaning_hour(2) (hour)</t>
  </si>
  <si>
    <t>First time of day when cleaning can occur</t>
  </si>
  <si>
    <t>Second time of day when cleaning can occur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</si>
</sst>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</cellXfs>
  <cellStyles count="4">
    <cellStyle name="Anteckning" xfId="1" builtinId="10"/>
    <cellStyle name="Bra" xfId="2" builtinId="26"/>
    <cellStyle name="Dålig" xfId="3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3418524</xdr:colOff>
      <xdr:row>8</xdr:row>
      <xdr:rowOff>33338</xdr:rowOff>
    </xdr:from>
    <xdr:to>
      <xdr:col>10</xdr:col>
      <xdr:colOff>1035370</xdr:colOff>
      <xdr:row>14</xdr:row>
      <xdr:rowOff>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3868" y="1735932"/>
          <a:ext cx="4177190" cy="1168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tabSelected="1" zoomScale="130" zoomScaleNormal="130" workbookViewId="0">
      <selection activeCell="A200" sqref="A200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281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0.72</v>
      </c>
      <c r="D6" s="10">
        <f>5*D7</f>
        <v>0.72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B7/20</f>
        <v>0.14399999999999999</v>
      </c>
      <c r="D7" s="66">
        <f>B7/20</f>
        <v>0.14399999999999999</v>
      </c>
      <c r="E7" s="70"/>
      <c r="F7" s="6"/>
      <c r="G7" s="78"/>
      <c r="H7" s="48">
        <f>M5</f>
        <v>4.4553599999999989</v>
      </c>
      <c r="I7" s="49">
        <f>C7*K7</f>
        <v>0.22276799999999994</v>
      </c>
      <c r="J7" s="49">
        <f>D7*K7</f>
        <v>0.22276799999999994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0</v>
      </c>
      <c r="D21" s="68">
        <v>0</v>
      </c>
      <c r="E21" s="68">
        <v>100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/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425</v>
      </c>
      <c r="C28" s="10">
        <v>0.98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426</v>
      </c>
      <c r="C29" s="10">
        <v>1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427</v>
      </c>
      <c r="C30" s="10">
        <v>0.83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428</v>
      </c>
      <c r="C31" s="10">
        <v>1.6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429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430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431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432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433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434</v>
      </c>
      <c r="C37" s="10">
        <v>0.5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</row>
    <row r="47" spans="1:10" ht="15.75" thickBot="1" x14ac:dyDescent="0.3">
      <c r="A47" s="9" t="s">
        <v>1</v>
      </c>
      <c r="B47" s="15">
        <f>10*B48</f>
        <v>2.4999999999999998E-5</v>
      </c>
      <c r="C47" s="15">
        <f>10*C48</f>
        <v>2.4999999999999998E-5</v>
      </c>
      <c r="D47" s="15">
        <f>10*D48</f>
        <v>2.4999999999999998E-5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0.000001*H48</f>
        <v>2.4999999999999998E-6</v>
      </c>
      <c r="C48" s="15">
        <f>0.000001*H48</f>
        <v>2.4999999999999998E-6</v>
      </c>
      <c r="D48" s="15">
        <f>0.000001*H48</f>
        <v>2.4999999999999998E-6</v>
      </c>
      <c r="E48" s="73"/>
      <c r="F48" s="27"/>
      <c r="G48" s="83"/>
      <c r="H48" s="53">
        <v>2.5</v>
      </c>
      <c r="I48" s="6">
        <v>5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0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/>
      <c r="K65" s="20"/>
      <c r="L65" s="20"/>
    </row>
    <row r="66" spans="1:15" ht="15.75" thickBot="1" x14ac:dyDescent="0.3">
      <c r="A66" s="28" t="s">
        <v>2</v>
      </c>
      <c r="B66" s="17">
        <v>9.9999999999999995E-7</v>
      </c>
      <c r="C66" s="17">
        <v>9.9999999999999995E-7</v>
      </c>
      <c r="D66" s="17">
        <v>9.9999999999999995E-7</v>
      </c>
      <c r="E66" s="6"/>
      <c r="F66" s="6"/>
      <c r="G66" s="78"/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9.9999999999999991E-6</v>
      </c>
      <c r="C72" s="15">
        <f>10*C73</f>
        <v>9.9999999999999991E-6</v>
      </c>
      <c r="D72" s="15">
        <f>10*D73</f>
        <v>9.9999999999999991E-6</v>
      </c>
      <c r="E72" s="6"/>
      <c r="F72" s="6"/>
      <c r="G72" s="78"/>
    </row>
    <row r="73" spans="1:15" ht="15.75" thickBot="1" x14ac:dyDescent="0.3">
      <c r="A73" s="28" t="s">
        <v>2</v>
      </c>
      <c r="B73" s="15">
        <v>9.9999999999999995E-7</v>
      </c>
      <c r="C73" s="15">
        <v>9.9999999999999995E-7</v>
      </c>
      <c r="D73" s="15">
        <v>9.9999999999999995E-7</v>
      </c>
      <c r="E73" s="6"/>
      <c r="F73" s="6"/>
      <c r="G73" s="78"/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1</v>
      </c>
      <c r="C79" s="10">
        <v>1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1</v>
      </c>
      <c r="C83" s="10">
        <v>1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1</v>
      </c>
      <c r="C84" s="10">
        <v>1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1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1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1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D98*0.05</f>
        <v>1.4000000000000002E-2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v>0.02</v>
      </c>
      <c r="D101" s="114">
        <f>C101*0.2</f>
        <v>4.0000000000000001E-3</v>
      </c>
      <c r="E101" s="10">
        <f>C101*0.08</f>
        <v>1.6000000000000001E-3</v>
      </c>
      <c r="F101" s="20"/>
      <c r="G101" s="81"/>
      <c r="H101" s="20"/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D103*0.1</f>
        <v>2.8000000000000004E-2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1.4000000000000002E-2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1.4000000000000002E-2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f>C98/1</f>
        <v>1</v>
      </c>
      <c r="D107" s="10">
        <v>1</v>
      </c>
      <c r="E107" s="10">
        <v>0.2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1</v>
      </c>
      <c r="E108" s="10">
        <v>0.2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1.2E-2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0.1</v>
      </c>
      <c r="C122" s="10">
        <v>0.1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v>1.1999999999999999E-3</v>
      </c>
      <c r="C137" s="21">
        <f>6*C138</f>
        <v>1.2000000000000002E-4</v>
      </c>
      <c r="D137" s="21">
        <f>6*D138</f>
        <v>1.2E-5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v>2.0000000000000001E-4</v>
      </c>
      <c r="C138" s="21">
        <v>2.0000000000000002E-5</v>
      </c>
      <c r="D138" s="21">
        <f>B138/100</f>
        <v>1.9999999999999999E-6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2</v>
      </c>
      <c r="C141" s="10">
        <v>2</v>
      </c>
      <c r="D141" s="10">
        <v>2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20</v>
      </c>
      <c r="C142" s="10">
        <v>20</v>
      </c>
      <c r="D142" s="10">
        <v>20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0.5</v>
      </c>
      <c r="C145" s="88">
        <v>0.25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6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</v>
      </c>
      <c r="C155" s="6"/>
      <c r="D155" s="6"/>
      <c r="E155" s="6"/>
      <c r="F155" s="6"/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36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v>30</v>
      </c>
      <c r="C163" s="21">
        <v>10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s="2" customFormat="1" ht="18" customHeight="1" x14ac:dyDescent="0.2">
      <c r="A168" s="3" t="s">
        <v>324</v>
      </c>
      <c r="B168" s="4"/>
      <c r="C168" s="4"/>
      <c r="D168" s="4"/>
      <c r="E168" s="4"/>
      <c r="F168" s="4"/>
      <c r="G168" s="78" t="s">
        <v>403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313</v>
      </c>
      <c r="G169" s="78"/>
    </row>
    <row r="170" spans="1:15" ht="15.75" thickBot="1" x14ac:dyDescent="0.3">
      <c r="A170" s="12" t="s">
        <v>316</v>
      </c>
      <c r="B170" s="8" t="s">
        <v>317</v>
      </c>
      <c r="C170" s="8" t="s">
        <v>323</v>
      </c>
      <c r="G170" s="78"/>
    </row>
    <row r="171" spans="1:15" ht="16.5" thickBot="1" x14ac:dyDescent="0.35">
      <c r="A171" s="44" t="s">
        <v>113</v>
      </c>
      <c r="B171" s="10">
        <f>1+(C171-1)*0.5</f>
        <v>1</v>
      </c>
      <c r="C171" s="10">
        <v>1</v>
      </c>
      <c r="G171" s="78"/>
    </row>
    <row r="172" spans="1:15" ht="16.5" thickBot="1" x14ac:dyDescent="0.35">
      <c r="A172" s="7" t="s">
        <v>96</v>
      </c>
      <c r="B172" s="10">
        <f>1+(1/C171-1)*1</f>
        <v>1</v>
      </c>
      <c r="G172" s="78"/>
    </row>
    <row r="173" spans="1:15" ht="16.5" thickBot="1" x14ac:dyDescent="0.35">
      <c r="A173" s="13" t="s">
        <v>110</v>
      </c>
      <c r="B173" s="10">
        <f>1+(1/C171-1)*1</f>
        <v>1</v>
      </c>
      <c r="G173" s="78"/>
    </row>
    <row r="174" spans="1:15" ht="16.5" thickBot="1" x14ac:dyDescent="0.35">
      <c r="A174" s="13" t="s">
        <v>314</v>
      </c>
      <c r="B174" s="10">
        <f>1+(1/C171-1)*1</f>
        <v>1</v>
      </c>
      <c r="G174" s="78"/>
    </row>
    <row r="175" spans="1:15" ht="16.5" thickBot="1" x14ac:dyDescent="0.35">
      <c r="A175" s="13" t="s">
        <v>315</v>
      </c>
      <c r="B175" s="10">
        <f>1+(1/C171-1)*1</f>
        <v>1</v>
      </c>
      <c r="G175" s="78"/>
    </row>
    <row r="176" spans="1:15" ht="15.75" thickBot="1" x14ac:dyDescent="0.3">
      <c r="A176" s="5" t="s">
        <v>325</v>
      </c>
      <c r="G176" s="78"/>
    </row>
    <row r="177" spans="1:12" ht="15.75" thickBot="1" x14ac:dyDescent="0.3">
      <c r="A177" s="12" t="s">
        <v>328</v>
      </c>
      <c r="B177" s="8" t="s">
        <v>334</v>
      </c>
      <c r="C177" s="8" t="s">
        <v>326</v>
      </c>
      <c r="D177" s="8" t="s">
        <v>327</v>
      </c>
      <c r="E177" s="87" t="s">
        <v>345</v>
      </c>
      <c r="F177" s="58"/>
      <c r="G177" s="79"/>
    </row>
    <row r="178" spans="1:12" ht="18.75" customHeight="1" thickBot="1" x14ac:dyDescent="0.35">
      <c r="A178" s="13" t="s">
        <v>333</v>
      </c>
      <c r="B178" s="10">
        <v>1</v>
      </c>
      <c r="C178" s="10">
        <v>1</v>
      </c>
      <c r="D178" s="10">
        <v>1</v>
      </c>
      <c r="E178" s="88">
        <v>0.01</v>
      </c>
      <c r="F178" s="20"/>
      <c r="G178" s="81"/>
      <c r="H178" s="27"/>
      <c r="K178" s="20"/>
      <c r="L178" s="20"/>
    </row>
    <row r="179" spans="1:12" ht="18.75" customHeight="1" thickBot="1" x14ac:dyDescent="0.35">
      <c r="A179" s="13" t="s">
        <v>332</v>
      </c>
      <c r="B179" s="10">
        <v>0</v>
      </c>
      <c r="C179" s="10">
        <v>0.5</v>
      </c>
      <c r="D179" s="10">
        <v>0.5</v>
      </c>
      <c r="E179" s="88">
        <v>0.01</v>
      </c>
      <c r="F179" s="20"/>
      <c r="G179" s="81"/>
      <c r="H179" s="27"/>
      <c r="K179" s="20"/>
      <c r="L179" s="20"/>
    </row>
    <row r="180" spans="1:12" ht="18.75" customHeight="1" thickBot="1" x14ac:dyDescent="0.35">
      <c r="A180" s="13" t="s">
        <v>331</v>
      </c>
      <c r="B180" s="10">
        <v>0</v>
      </c>
      <c r="C180" s="10">
        <v>0.5</v>
      </c>
      <c r="D180" s="10">
        <v>0.5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330</v>
      </c>
      <c r="B181" s="10">
        <v>0</v>
      </c>
      <c r="C181" s="10">
        <v>0</v>
      </c>
      <c r="D181" s="10">
        <v>0.01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329</v>
      </c>
      <c r="B182" s="10">
        <v>0</v>
      </c>
      <c r="C182" s="10">
        <v>0</v>
      </c>
      <c r="D182" s="10">
        <v>0.01</v>
      </c>
      <c r="E182" s="88">
        <v>0.01</v>
      </c>
      <c r="F182" s="20"/>
      <c r="G182" s="81"/>
      <c r="H182" s="27"/>
      <c r="K182" s="20"/>
      <c r="L182" s="20"/>
    </row>
    <row r="183" spans="1:12" ht="15.75" thickBot="1" x14ac:dyDescent="0.3">
      <c r="A183" s="12" t="s">
        <v>328</v>
      </c>
      <c r="B183" s="87" t="s">
        <v>342</v>
      </c>
      <c r="C183" s="87" t="s">
        <v>343</v>
      </c>
      <c r="D183" s="87" t="s">
        <v>344</v>
      </c>
      <c r="E183" s="87" t="s">
        <v>344</v>
      </c>
      <c r="F183" s="58"/>
      <c r="G183" s="79"/>
    </row>
    <row r="184" spans="1:12" ht="18.75" customHeight="1" thickBot="1" x14ac:dyDescent="0.35">
      <c r="A184" s="13" t="s">
        <v>333</v>
      </c>
      <c r="B184" s="88">
        <v>1</v>
      </c>
      <c r="C184" s="88">
        <v>1</v>
      </c>
      <c r="D184" s="88">
        <v>0</v>
      </c>
      <c r="E184" s="88">
        <v>0</v>
      </c>
      <c r="F184" s="20"/>
      <c r="G184" s="81"/>
      <c r="H184" s="27"/>
      <c r="K184" s="20"/>
      <c r="L184" s="20"/>
    </row>
    <row r="185" spans="1:12" ht="18.75" customHeight="1" thickBot="1" x14ac:dyDescent="0.35">
      <c r="A185" s="13" t="s">
        <v>332</v>
      </c>
      <c r="B185" s="88">
        <v>1</v>
      </c>
      <c r="C185" s="88">
        <v>1</v>
      </c>
      <c r="D185" s="88">
        <v>0</v>
      </c>
      <c r="E185" s="88">
        <v>0</v>
      </c>
      <c r="F185" s="20"/>
      <c r="G185" s="81"/>
      <c r="H185" s="27"/>
      <c r="K185" s="20"/>
      <c r="L185" s="20"/>
    </row>
    <row r="186" spans="1:12" ht="18.75" customHeight="1" thickBot="1" x14ac:dyDescent="0.35">
      <c r="A186" s="13" t="s">
        <v>331</v>
      </c>
      <c r="B186" s="88">
        <v>100</v>
      </c>
      <c r="C186" s="88">
        <v>100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330</v>
      </c>
      <c r="B187" s="88">
        <v>0.1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329</v>
      </c>
      <c r="B188" s="88">
        <v>0.1</v>
      </c>
      <c r="C188" s="88">
        <v>1</v>
      </c>
      <c r="D188" s="88">
        <v>0</v>
      </c>
      <c r="E188" s="88">
        <v>0</v>
      </c>
      <c r="F188" s="20"/>
      <c r="G188" s="81"/>
      <c r="H188" s="27"/>
      <c r="K188" s="20"/>
      <c r="L188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25" zoomScale="150" zoomScaleNormal="150" workbookViewId="0">
      <selection activeCell="C30" sqref="C30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1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2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423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1</v>
      </c>
      <c r="C22" s="102" t="s">
        <v>424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1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271</v>
      </c>
      <c r="B28" s="103">
        <v>1</v>
      </c>
      <c r="C28" s="102" t="s">
        <v>273</v>
      </c>
      <c r="D28" s="103">
        <v>1</v>
      </c>
    </row>
    <row r="29" spans="1:4" ht="15.75" customHeight="1" x14ac:dyDescent="0.25">
      <c r="A29" s="102" t="s">
        <v>272</v>
      </c>
      <c r="B29" s="103">
        <v>1</v>
      </c>
      <c r="C29" s="102" t="s">
        <v>274</v>
      </c>
      <c r="D29" s="103">
        <v>1</v>
      </c>
    </row>
    <row r="30" spans="1:4" x14ac:dyDescent="0.25">
      <c r="A30" s="102" t="s">
        <v>50</v>
      </c>
      <c r="B30" s="103">
        <v>1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267</v>
      </c>
      <c r="D33" s="103">
        <v>1</v>
      </c>
    </row>
    <row r="34" spans="1:4" x14ac:dyDescent="0.25">
      <c r="A34" s="102" t="s">
        <v>41</v>
      </c>
      <c r="B34" s="103">
        <v>1</v>
      </c>
      <c r="C34" s="102" t="s">
        <v>393</v>
      </c>
      <c r="D34" s="103">
        <v>0</v>
      </c>
    </row>
    <row r="35" spans="1:4" x14ac:dyDescent="0.25">
      <c r="A35" s="102" t="s">
        <v>388</v>
      </c>
      <c r="B35" s="103">
        <v>1</v>
      </c>
      <c r="C35" s="102" t="s">
        <v>394</v>
      </c>
      <c r="D35" s="103">
        <v>0</v>
      </c>
    </row>
    <row r="36" spans="1:4" x14ac:dyDescent="0.25">
      <c r="A36" s="102" t="s">
        <v>42</v>
      </c>
      <c r="B36" s="103">
        <v>1</v>
      </c>
      <c r="C36" s="102" t="s">
        <v>322</v>
      </c>
      <c r="D36" s="103">
        <v>0</v>
      </c>
    </row>
    <row r="37" spans="1:4" x14ac:dyDescent="0.25">
      <c r="A37" s="102" t="s">
        <v>43</v>
      </c>
      <c r="B37" s="103">
        <v>1</v>
      </c>
      <c r="C37" s="102" t="s">
        <v>321</v>
      </c>
      <c r="D37" s="103">
        <v>1</v>
      </c>
    </row>
    <row r="38" spans="1:4" x14ac:dyDescent="0.25">
      <c r="A38" s="102" t="s">
        <v>198</v>
      </c>
      <c r="B38" s="103">
        <v>1</v>
      </c>
      <c r="C38" s="102" t="s">
        <v>268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308</v>
      </c>
      <c r="D40" s="103">
        <v>2</v>
      </c>
    </row>
    <row r="41" spans="1:4" x14ac:dyDescent="0.25">
      <c r="A41" s="102" t="s">
        <v>37</v>
      </c>
      <c r="B41" s="103">
        <v>3</v>
      </c>
      <c r="C41" s="102" t="s">
        <v>227</v>
      </c>
      <c r="D41" s="103">
        <v>1</v>
      </c>
    </row>
    <row r="42" spans="1:4" ht="18.75" customHeight="1" x14ac:dyDescent="0.25">
      <c r="A42" s="99" t="s">
        <v>210</v>
      </c>
      <c r="B42" s="100"/>
      <c r="C42" s="101"/>
      <c r="D42" s="100"/>
    </row>
    <row r="43" spans="1:4" ht="16.5" customHeight="1" x14ac:dyDescent="0.25">
      <c r="A43" s="102" t="s">
        <v>211</v>
      </c>
      <c r="B43" s="103">
        <v>0</v>
      </c>
      <c r="C43" s="102" t="s">
        <v>405</v>
      </c>
      <c r="D43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7"/>
  <sheetViews>
    <sheetView zoomScale="150" zoomScaleNormal="150" workbookViewId="0">
      <selection activeCell="C37" sqref="C37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5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20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0.2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-6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0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0.1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90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0.25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7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435</v>
      </c>
      <c r="B34" s="110">
        <v>5</v>
      </c>
      <c r="C34" s="2" t="s">
        <v>437</v>
      </c>
    </row>
    <row r="35" spans="1:5" x14ac:dyDescent="0.25">
      <c r="A35" s="109" t="s">
        <v>436</v>
      </c>
      <c r="B35" s="110">
        <v>20</v>
      </c>
      <c r="C35" s="113" t="s">
        <v>438</v>
      </c>
    </row>
    <row r="36" spans="1:5" x14ac:dyDescent="0.25">
      <c r="A36" s="109" t="s">
        <v>218</v>
      </c>
      <c r="B36" s="110">
        <v>72</v>
      </c>
      <c r="C36" s="113" t="s">
        <v>214</v>
      </c>
    </row>
    <row r="37" spans="1:5" x14ac:dyDescent="0.25">
      <c r="A37" s="109" t="s">
        <v>219</v>
      </c>
      <c r="B37" s="110">
        <v>0</v>
      </c>
      <c r="C37" s="113" t="s">
        <v>205</v>
      </c>
    </row>
    <row r="38" spans="1:5" x14ac:dyDescent="0.25">
      <c r="A38" s="109" t="s">
        <v>220</v>
      </c>
      <c r="B38" s="110">
        <v>11</v>
      </c>
      <c r="C38" s="113" t="s">
        <v>206</v>
      </c>
    </row>
    <row r="39" spans="1:5" x14ac:dyDescent="0.25">
      <c r="A39" s="109" t="s">
        <v>221</v>
      </c>
      <c r="B39" s="110">
        <v>4</v>
      </c>
      <c r="C39" s="113" t="s">
        <v>207</v>
      </c>
    </row>
    <row r="40" spans="1:5" x14ac:dyDescent="0.25">
      <c r="A40" s="109" t="s">
        <v>200</v>
      </c>
      <c r="B40" s="110">
        <v>0</v>
      </c>
      <c r="C40" s="113" t="s">
        <v>208</v>
      </c>
    </row>
    <row r="41" spans="1:5" x14ac:dyDescent="0.25">
      <c r="A41" s="109" t="s">
        <v>222</v>
      </c>
      <c r="B41" s="110">
        <v>0.6</v>
      </c>
      <c r="C41" s="113" t="s">
        <v>223</v>
      </c>
    </row>
    <row r="42" spans="1:5" x14ac:dyDescent="0.25">
      <c r="A42" s="109" t="s">
        <v>269</v>
      </c>
      <c r="B42" s="110">
        <v>0.1</v>
      </c>
      <c r="C42" s="113" t="s">
        <v>270</v>
      </c>
    </row>
    <row r="43" spans="1:5" x14ac:dyDescent="0.25">
      <c r="A43" s="2"/>
      <c r="B43" s="2"/>
      <c r="C43" s="112"/>
    </row>
    <row r="44" spans="1:5" x14ac:dyDescent="0.25">
      <c r="A44" s="107" t="s">
        <v>366</v>
      </c>
      <c r="B44" s="107" t="s">
        <v>15</v>
      </c>
      <c r="C44" s="108" t="s">
        <v>386</v>
      </c>
    </row>
    <row r="45" spans="1:5" x14ac:dyDescent="0.25">
      <c r="A45" s="109" t="s">
        <v>367</v>
      </c>
      <c r="B45" s="110">
        <v>2</v>
      </c>
      <c r="C45" s="111" t="s">
        <v>382</v>
      </c>
      <c r="D45" s="92"/>
      <c r="E45" s="1"/>
    </row>
    <row r="46" spans="1:5" x14ac:dyDescent="0.25">
      <c r="A46" s="109" t="s">
        <v>368</v>
      </c>
      <c r="B46" s="110">
        <v>6</v>
      </c>
      <c r="C46" s="111" t="s">
        <v>392</v>
      </c>
      <c r="D46" s="92"/>
      <c r="E46" s="1"/>
    </row>
    <row r="47" spans="1:5" x14ac:dyDescent="0.25">
      <c r="A47" s="109" t="s">
        <v>369</v>
      </c>
      <c r="B47" s="110">
        <v>2.9</v>
      </c>
      <c r="C47" s="111" t="s">
        <v>390</v>
      </c>
      <c r="D47" s="92"/>
      <c r="E47" s="1"/>
    </row>
    <row r="48" spans="1:5" x14ac:dyDescent="0.25">
      <c r="A48" s="109" t="s">
        <v>370</v>
      </c>
      <c r="B48" s="110">
        <v>0.25</v>
      </c>
      <c r="C48" s="111" t="s">
        <v>170</v>
      </c>
      <c r="D48" s="92"/>
      <c r="E48" s="1"/>
    </row>
    <row r="49" spans="1:5" x14ac:dyDescent="0.25">
      <c r="A49" s="109" t="s">
        <v>371</v>
      </c>
      <c r="B49" s="110">
        <v>-30</v>
      </c>
      <c r="C49" s="111" t="s">
        <v>383</v>
      </c>
      <c r="D49" s="92"/>
      <c r="E49" s="1"/>
    </row>
    <row r="50" spans="1:5" x14ac:dyDescent="0.25">
      <c r="A50" s="109" t="s">
        <v>372</v>
      </c>
      <c r="B50" s="110">
        <v>25</v>
      </c>
      <c r="C50" s="111" t="s">
        <v>398</v>
      </c>
      <c r="D50" s="92"/>
      <c r="E50" s="1"/>
    </row>
    <row r="51" spans="1:5" ht="15.75" customHeight="1" x14ac:dyDescent="0.25">
      <c r="A51" s="109" t="s">
        <v>373</v>
      </c>
      <c r="B51" s="110">
        <v>0.1</v>
      </c>
      <c r="C51" s="111" t="s">
        <v>385</v>
      </c>
      <c r="D51" s="92"/>
      <c r="E51" s="1"/>
    </row>
    <row r="52" spans="1:5" x14ac:dyDescent="0.25">
      <c r="A52" s="109" t="s">
        <v>374</v>
      </c>
      <c r="B52" s="110">
        <v>40</v>
      </c>
      <c r="C52" s="111" t="s">
        <v>395</v>
      </c>
      <c r="D52" s="92"/>
      <c r="E52" s="1"/>
    </row>
    <row r="53" spans="1:5" x14ac:dyDescent="0.25">
      <c r="A53" s="109" t="s">
        <v>375</v>
      </c>
      <c r="B53" s="110">
        <v>0.05</v>
      </c>
      <c r="C53" s="111" t="s">
        <v>389</v>
      </c>
      <c r="D53" s="92"/>
      <c r="E53" s="1"/>
    </row>
    <row r="54" spans="1:5" x14ac:dyDescent="0.25">
      <c r="A54" s="109" t="s">
        <v>376</v>
      </c>
      <c r="B54" s="110">
        <v>5</v>
      </c>
      <c r="C54" s="111" t="s">
        <v>384</v>
      </c>
      <c r="D54" s="92"/>
      <c r="E54" s="1"/>
    </row>
    <row r="55" spans="1:5" x14ac:dyDescent="0.25">
      <c r="A55" s="109" t="s">
        <v>377</v>
      </c>
      <c r="B55" s="110">
        <v>0.2</v>
      </c>
      <c r="C55" s="111" t="s">
        <v>387</v>
      </c>
      <c r="D55" s="92"/>
      <c r="E55" s="1"/>
    </row>
    <row r="56" spans="1:5" x14ac:dyDescent="0.25">
      <c r="A56" s="109" t="s">
        <v>378</v>
      </c>
      <c r="B56" s="110">
        <v>11</v>
      </c>
      <c r="C56" s="113" t="s">
        <v>380</v>
      </c>
    </row>
    <row r="57" spans="1:5" x14ac:dyDescent="0.25">
      <c r="A57" s="109" t="s">
        <v>379</v>
      </c>
      <c r="B57" s="110">
        <v>4</v>
      </c>
      <c r="C57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Leung Wing</cp:lastModifiedBy>
  <cp:lastPrinted>2016-02-25T13:13:37Z</cp:lastPrinted>
  <dcterms:created xsi:type="dcterms:W3CDTF">2011-02-03T09:54:29Z</dcterms:created>
  <dcterms:modified xsi:type="dcterms:W3CDTF">2024-04-29T13:02:37Z</dcterms:modified>
</cp:coreProperties>
</file>