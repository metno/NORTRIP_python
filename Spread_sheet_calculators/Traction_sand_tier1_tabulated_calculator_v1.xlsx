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AQD_guidance_salt_sand\GMD article\"/>
    </mc:Choice>
  </mc:AlternateContent>
  <xr:revisionPtr revIDLastSave="0" documentId="13_ncr:1_{90461785-360F-44F4-976C-AE1BD7F8772F}" xr6:coauthVersionLast="47" xr6:coauthVersionMax="47" xr10:uidLastSave="{00000000-0000-0000-0000-000000000000}"/>
  <bookViews>
    <workbookView xWindow="3960" yWindow="3150" windowWidth="21600" windowHeight="11295" xr2:uid="{4F5EC8B0-A43D-4E4B-843C-DFFB1F95889D}"/>
  </bookViews>
  <sheets>
    <sheet name="Tabulated calculation" sheetId="6" r:id="rId1"/>
    <sheet name="Parameters_NORTRIP" sheetId="2" r:id="rId2"/>
    <sheet name="Parameters_EMEP-EEA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6" l="1"/>
  <c r="D40" i="6"/>
  <c r="D41" i="6"/>
  <c r="D42" i="6"/>
  <c r="D16" i="6"/>
  <c r="D17" i="6"/>
  <c r="D18" i="6"/>
  <c r="D19" i="6"/>
  <c r="Q27" i="6"/>
  <c r="Q26" i="6"/>
  <c r="Q4" i="6"/>
  <c r="Q3" i="6"/>
  <c r="Q25" i="6"/>
  <c r="Q2" i="6"/>
  <c r="F26" i="6" l="1"/>
  <c r="G26" i="6"/>
  <c r="H26" i="6"/>
  <c r="I26" i="6"/>
  <c r="J26" i="6"/>
  <c r="K26" i="6"/>
  <c r="L26" i="6"/>
  <c r="M26" i="6"/>
  <c r="N26" i="6"/>
  <c r="E26" i="6"/>
  <c r="F3" i="6"/>
  <c r="G3" i="6"/>
  <c r="H3" i="6"/>
  <c r="I3" i="6"/>
  <c r="J3" i="6"/>
  <c r="K3" i="6"/>
  <c r="L3" i="6"/>
  <c r="M3" i="6"/>
  <c r="N3" i="6"/>
  <c r="E3" i="6"/>
  <c r="Q28" i="6" l="1"/>
  <c r="H42" i="6" l="1"/>
  <c r="F42" i="6"/>
  <c r="L42" i="6"/>
  <c r="K39" i="6"/>
  <c r="I42" i="6"/>
  <c r="K42" i="6"/>
  <c r="E39" i="6"/>
  <c r="K40" i="6"/>
  <c r="N42" i="6"/>
  <c r="I39" i="6"/>
  <c r="I41" i="6"/>
  <c r="N41" i="6"/>
  <c r="G42" i="6"/>
  <c r="G41" i="6"/>
  <c r="H39" i="6"/>
  <c r="M39" i="6"/>
  <c r="J40" i="6"/>
  <c r="I40" i="6"/>
  <c r="G40" i="6"/>
  <c r="F41" i="6"/>
  <c r="J39" i="6"/>
  <c r="E40" i="6"/>
  <c r="E42" i="6"/>
  <c r="G39" i="6"/>
  <c r="Q29" i="6"/>
  <c r="M41" i="6" s="1"/>
  <c r="D38" i="6"/>
  <c r="D37" i="6"/>
  <c r="D36" i="6"/>
  <c r="D35" i="6"/>
  <c r="D34" i="6"/>
  <c r="D33" i="6"/>
  <c r="D32" i="6"/>
  <c r="D31" i="6"/>
  <c r="D30" i="6"/>
  <c r="D29" i="6"/>
  <c r="D28" i="6"/>
  <c r="D14" i="6"/>
  <c r="D15" i="6"/>
  <c r="D6" i="6"/>
  <c r="D7" i="6"/>
  <c r="D8" i="6"/>
  <c r="D9" i="6"/>
  <c r="D10" i="6"/>
  <c r="D11" i="6"/>
  <c r="D12" i="6"/>
  <c r="D13" i="6"/>
  <c r="D5" i="6"/>
  <c r="Q6" i="6"/>
  <c r="Q5" i="6"/>
  <c r="F39" i="6" l="1"/>
  <c r="F40" i="6"/>
  <c r="M42" i="6"/>
  <c r="J42" i="6"/>
  <c r="L41" i="6"/>
  <c r="H41" i="6"/>
  <c r="H19" i="6"/>
  <c r="N18" i="6"/>
  <c r="K16" i="6"/>
  <c r="M19" i="6"/>
  <c r="H16" i="6"/>
  <c r="J17" i="6"/>
  <c r="J18" i="6"/>
  <c r="L16" i="6"/>
  <c r="N16" i="6"/>
  <c r="M17" i="6"/>
  <c r="E18" i="6"/>
  <c r="F19" i="6"/>
  <c r="I16" i="6"/>
  <c r="F17" i="6"/>
  <c r="F18" i="6"/>
  <c r="H18" i="6"/>
  <c r="N17" i="6"/>
  <c r="I17" i="6"/>
  <c r="K17" i="6"/>
  <c r="N19" i="6"/>
  <c r="L17" i="6"/>
  <c r="K19" i="6"/>
  <c r="E19" i="6"/>
  <c r="E16" i="6"/>
  <c r="G18" i="6"/>
  <c r="J19" i="6"/>
  <c r="I18" i="6"/>
  <c r="F16" i="6"/>
  <c r="J16" i="6"/>
  <c r="G19" i="6"/>
  <c r="K18" i="6"/>
  <c r="M18" i="6"/>
  <c r="G16" i="6"/>
  <c r="M16" i="6"/>
  <c r="G17" i="6"/>
  <c r="I19" i="6"/>
  <c r="E17" i="6"/>
  <c r="L19" i="6"/>
  <c r="L18" i="6"/>
  <c r="H17" i="6"/>
  <c r="N39" i="6"/>
  <c r="J41" i="6"/>
  <c r="L39" i="6"/>
  <c r="E41" i="6"/>
  <c r="K41" i="6"/>
  <c r="M40" i="6"/>
  <c r="N40" i="6"/>
  <c r="H40" i="6"/>
  <c r="L40" i="6"/>
  <c r="M31" i="6"/>
  <c r="N32" i="6"/>
  <c r="K28" i="6"/>
  <c r="E28" i="6"/>
  <c r="E36" i="6"/>
  <c r="I33" i="6"/>
  <c r="J34" i="6"/>
  <c r="K29" i="6"/>
  <c r="I37" i="6"/>
  <c r="G37" i="6"/>
  <c r="E30" i="6"/>
  <c r="L37" i="6"/>
  <c r="N38" i="6"/>
  <c r="J32" i="6"/>
  <c r="L36" i="6"/>
  <c r="N33" i="6"/>
  <c r="J29" i="6"/>
  <c r="K30" i="6"/>
  <c r="K31" i="6"/>
  <c r="F36" i="6"/>
  <c r="N29" i="6"/>
  <c r="J38" i="6"/>
  <c r="L31" i="6"/>
  <c r="M36" i="6"/>
  <c r="E31" i="6"/>
  <c r="G32" i="6"/>
  <c r="M32" i="6"/>
  <c r="H35" i="6"/>
  <c r="L28" i="6"/>
  <c r="N28" i="6"/>
  <c r="M33" i="6"/>
  <c r="K33" i="6"/>
  <c r="M34" i="6"/>
  <c r="M29" i="6"/>
  <c r="K37" i="6"/>
  <c r="F37" i="6"/>
  <c r="G30" i="6"/>
  <c r="N30" i="6"/>
  <c r="G38" i="6"/>
  <c r="G29" i="6"/>
  <c r="E32" i="6"/>
  <c r="L34" i="6"/>
  <c r="E37" i="6"/>
  <c r="G35" i="6"/>
  <c r="M28" i="6"/>
  <c r="E34" i="6"/>
  <c r="H31" i="6"/>
  <c r="F31" i="6"/>
  <c r="H32" i="6"/>
  <c r="L35" i="6"/>
  <c r="I35" i="6"/>
  <c r="F28" i="6"/>
  <c r="G36" i="6"/>
  <c r="F33" i="6"/>
  <c r="G34" i="6"/>
  <c r="N34" i="6"/>
  <c r="M37" i="6"/>
  <c r="H30" i="6"/>
  <c r="I38" i="6"/>
  <c r="N36" i="6"/>
  <c r="H38" i="6"/>
  <c r="L33" i="6"/>
  <c r="M30" i="6"/>
  <c r="I28" i="6"/>
  <c r="G31" i="6"/>
  <c r="J31" i="6"/>
  <c r="I32" i="6"/>
  <c r="M35" i="6"/>
  <c r="N35" i="6"/>
  <c r="G28" i="6"/>
  <c r="J28" i="6"/>
  <c r="I36" i="6"/>
  <c r="G33" i="6"/>
  <c r="J33" i="6"/>
  <c r="H34" i="6"/>
  <c r="E29" i="6"/>
  <c r="J37" i="6"/>
  <c r="I30" i="6"/>
  <c r="K38" i="6"/>
  <c r="F38" i="6"/>
  <c r="E38" i="6"/>
  <c r="J35" i="6"/>
  <c r="F34" i="6"/>
  <c r="L38" i="6"/>
  <c r="F32" i="6"/>
  <c r="H33" i="6"/>
  <c r="F29" i="6"/>
  <c r="N31" i="6"/>
  <c r="K32" i="6"/>
  <c r="K35" i="6"/>
  <c r="E35" i="6"/>
  <c r="K36" i="6"/>
  <c r="J36" i="6"/>
  <c r="E33" i="6"/>
  <c r="I34" i="6"/>
  <c r="L29" i="6"/>
  <c r="H37" i="6"/>
  <c r="N37" i="6"/>
  <c r="L30" i="6"/>
  <c r="M38" i="6"/>
  <c r="I31" i="6"/>
  <c r="F35" i="6"/>
  <c r="K34" i="6"/>
  <c r="F30" i="6"/>
  <c r="H28" i="6"/>
  <c r="H29" i="6"/>
  <c r="L32" i="6"/>
  <c r="H36" i="6"/>
  <c r="I29" i="6"/>
  <c r="J30" i="6"/>
  <c r="M6" i="6"/>
  <c r="F11" i="6"/>
  <c r="N12" i="6"/>
  <c r="K13" i="6"/>
  <c r="I14" i="6"/>
  <c r="H15" i="6"/>
  <c r="F5" i="6"/>
  <c r="N6" i="6"/>
  <c r="E9" i="6"/>
  <c r="H10" i="6"/>
  <c r="H11" i="6"/>
  <c r="F12" i="6"/>
  <c r="M13" i="6"/>
  <c r="J14" i="6"/>
  <c r="I15" i="6"/>
  <c r="H5" i="6"/>
  <c r="F8" i="6"/>
  <c r="H9" i="6"/>
  <c r="I10" i="6"/>
  <c r="I11" i="6"/>
  <c r="H12" i="6"/>
  <c r="N13" i="6"/>
  <c r="K14" i="6"/>
  <c r="J15" i="6"/>
  <c r="I5" i="6"/>
  <c r="H8" i="6"/>
  <c r="I9" i="6"/>
  <c r="K10" i="6"/>
  <c r="J11" i="6"/>
  <c r="I12" i="6"/>
  <c r="M14" i="6"/>
  <c r="M15" i="6"/>
  <c r="J5" i="6"/>
  <c r="E6" i="6"/>
  <c r="H7" i="6"/>
  <c r="I8" i="6"/>
  <c r="K9" i="6"/>
  <c r="M10" i="6"/>
  <c r="K11" i="6"/>
  <c r="F13" i="6"/>
  <c r="K5" i="6"/>
  <c r="F6" i="6"/>
  <c r="I7" i="6"/>
  <c r="M8" i="6"/>
  <c r="L9" i="6"/>
  <c r="M11" i="6"/>
  <c r="K12" i="6"/>
  <c r="H13" i="6"/>
  <c r="E14" i="6"/>
  <c r="M5" i="6"/>
  <c r="H6" i="6"/>
  <c r="J7" i="6"/>
  <c r="N8" i="6"/>
  <c r="M9" i="6"/>
  <c r="N11" i="6"/>
  <c r="L12" i="6"/>
  <c r="I13" i="6"/>
  <c r="F14" i="6"/>
  <c r="N5" i="6"/>
  <c r="I6" i="6"/>
  <c r="M7" i="6"/>
  <c r="E11" i="6"/>
  <c r="M12" i="6"/>
  <c r="J13" i="6"/>
  <c r="H14" i="6"/>
  <c r="F15" i="6"/>
  <c r="J12" i="6"/>
  <c r="N14" i="6"/>
  <c r="N15" i="6"/>
  <c r="N7" i="6"/>
  <c r="L7" i="6"/>
  <c r="K7" i="6"/>
  <c r="L15" i="6"/>
  <c r="G13" i="6"/>
  <c r="J8" i="6"/>
  <c r="F7" i="6"/>
  <c r="L5" i="6"/>
  <c r="J10" i="6"/>
  <c r="E5" i="6"/>
  <c r="L14" i="6"/>
  <c r="G6" i="6"/>
  <c r="N9" i="6"/>
  <c r="L10" i="6"/>
  <c r="E12" i="6"/>
  <c r="G9" i="6"/>
  <c r="K15" i="6"/>
  <c r="N10" i="6"/>
  <c r="F9" i="6"/>
  <c r="E7" i="6"/>
  <c r="G12" i="6"/>
  <c r="G15" i="6"/>
  <c r="E13" i="6"/>
  <c r="E8" i="6"/>
  <c r="F10" i="6"/>
  <c r="G11" i="6"/>
  <c r="K8" i="6"/>
  <c r="L8" i="6"/>
  <c r="E10" i="6"/>
  <c r="J6" i="6"/>
  <c r="J9" i="6"/>
  <c r="E15" i="6"/>
  <c r="G5" i="6"/>
  <c r="G14" i="6"/>
  <c r="G10" i="6"/>
  <c r="G8" i="6"/>
  <c r="L6" i="6"/>
  <c r="K6" i="6"/>
  <c r="L13" i="6"/>
  <c r="L11" i="6"/>
  <c r="G7" i="6"/>
  <c r="F53" i="6" l="1"/>
  <c r="E46" i="6"/>
  <c r="E50" i="6"/>
  <c r="F52" i="6"/>
  <c r="M50" i="6"/>
  <c r="K52" i="6"/>
  <c r="L51" i="6"/>
  <c r="G45" i="6"/>
  <c r="I53" i="6"/>
  <c r="K50" i="6"/>
  <c r="N46" i="6"/>
  <c r="I48" i="6"/>
  <c r="F49" i="6"/>
  <c r="J55" i="6"/>
  <c r="L52" i="6"/>
  <c r="M49" i="6"/>
  <c r="G54" i="6"/>
  <c r="G49" i="6"/>
  <c r="H50" i="6"/>
  <c r="J54" i="6"/>
  <c r="M53" i="6"/>
  <c r="I52" i="6"/>
  <c r="E45" i="6"/>
  <c r="E55" i="6"/>
  <c r="L53" i="6"/>
  <c r="M48" i="6"/>
  <c r="I50" i="6"/>
  <c r="E53" i="6"/>
  <c r="J48" i="6"/>
  <c r="J53" i="6"/>
  <c r="M47" i="6"/>
  <c r="N53" i="6"/>
  <c r="M46" i="6"/>
  <c r="G52" i="6"/>
  <c r="I49" i="6"/>
  <c r="F48" i="6"/>
  <c r="K49" i="6"/>
  <c r="I54" i="6"/>
  <c r="G53" i="6"/>
  <c r="J45" i="6"/>
  <c r="E47" i="6"/>
  <c r="L55" i="6"/>
  <c r="I51" i="6"/>
  <c r="L46" i="6"/>
  <c r="N48" i="6"/>
  <c r="E49" i="6"/>
  <c r="M45" i="6"/>
  <c r="H48" i="6"/>
  <c r="G47" i="6"/>
  <c r="N50" i="6"/>
  <c r="H46" i="6"/>
  <c r="H55" i="6"/>
  <c r="J47" i="6"/>
  <c r="E51" i="6"/>
  <c r="G51" i="6"/>
  <c r="G48" i="6"/>
  <c r="N52" i="6"/>
  <c r="F45" i="6"/>
  <c r="N54" i="6"/>
  <c r="I55" i="6"/>
  <c r="I46" i="6"/>
  <c r="L48" i="6"/>
  <c r="K46" i="6"/>
  <c r="H51" i="6"/>
  <c r="F55" i="6"/>
  <c r="H53" i="6"/>
  <c r="K48" i="6"/>
  <c r="N47" i="6"/>
  <c r="F51" i="6"/>
  <c r="N45" i="6"/>
  <c r="K45" i="6"/>
  <c r="L54" i="6"/>
  <c r="H47" i="6"/>
  <c r="G50" i="6"/>
  <c r="G46" i="6"/>
  <c r="M52" i="6"/>
  <c r="M55" i="6"/>
  <c r="K55" i="6"/>
  <c r="F47" i="6"/>
  <c r="F50" i="6"/>
  <c r="J51" i="6"/>
  <c r="H49" i="6"/>
  <c r="J50" i="6"/>
  <c r="J49" i="6"/>
  <c r="K53" i="6"/>
  <c r="N55" i="6"/>
  <c r="K47" i="6"/>
  <c r="K51" i="6"/>
  <c r="E54" i="6"/>
  <c r="H52" i="6"/>
  <c r="L50" i="6"/>
  <c r="M51" i="6"/>
  <c r="E52" i="6"/>
  <c r="J46" i="6"/>
  <c r="I47" i="6"/>
  <c r="G55" i="6"/>
  <c r="F46" i="6"/>
  <c r="M54" i="6"/>
  <c r="J52" i="6"/>
  <c r="K54" i="6"/>
  <c r="N51" i="6"/>
  <c r="H54" i="6"/>
  <c r="L45" i="6"/>
  <c r="N49" i="6"/>
  <c r="I45" i="6"/>
  <c r="L49" i="6"/>
  <c r="E48" i="6"/>
  <c r="H45" i="6"/>
  <c r="F54" i="6"/>
  <c r="L47" i="6"/>
</calcChain>
</file>

<file path=xl/sharedStrings.xml><?xml version="1.0" encoding="utf-8"?>
<sst xmlns="http://schemas.openxmlformats.org/spreadsheetml/2006/main" count="621" uniqueCount="227">
  <si>
    <t>ROAD DUST SUB-MODEL PARAMETERS</t>
  </si>
  <si>
    <t>Road wear</t>
  </si>
  <si>
    <t>W0,roadwear (g km-1 veh-1)</t>
  </si>
  <si>
    <t>Studded tyres (st)</t>
  </si>
  <si>
    <t>Winter tyres (wi)</t>
  </si>
  <si>
    <t>Summer tyres (su)</t>
  </si>
  <si>
    <t>Heavy (he)</t>
  </si>
  <si>
    <t>Light (li)</t>
  </si>
  <si>
    <t xml:space="preserve">Parameters for speed dependence </t>
  </si>
  <si>
    <t>a1</t>
  </si>
  <si>
    <t>a2</t>
  </si>
  <si>
    <t>a3</t>
  </si>
  <si>
    <t>Vref,roadwear</t>
  </si>
  <si>
    <t>Vmin,roadwear</t>
  </si>
  <si>
    <t xml:space="preserve">W=W0*(a1+a2*(max[V,Vmin]/Vref)a3) </t>
  </si>
  <si>
    <t>Tyre wear</t>
  </si>
  <si>
    <t>W0,tirewear (g km-1 veh-1)</t>
  </si>
  <si>
    <t>Vref,tyrewear</t>
  </si>
  <si>
    <t>Vmin,tyrewear</t>
  </si>
  <si>
    <t>Brake wear</t>
  </si>
  <si>
    <t>Index(p)</t>
  </si>
  <si>
    <t>Name</t>
  </si>
  <si>
    <t>hpave (p)</t>
  </si>
  <si>
    <t>W0,brakewear (g km-1 veh-1)</t>
  </si>
  <si>
    <t>NBM7_SS11</t>
  </si>
  <si>
    <t>NBM10_SS11</t>
  </si>
  <si>
    <t>NBM14_SS11</t>
  </si>
  <si>
    <t>Vref,brakewear</t>
  </si>
  <si>
    <t>Vmin,brakewear</t>
  </si>
  <si>
    <t>NBM19_SS11</t>
  </si>
  <si>
    <t>Snow depth wear threshold</t>
  </si>
  <si>
    <t>Parameter</t>
  </si>
  <si>
    <t>Value</t>
  </si>
  <si>
    <t>sroadwear,thresh (mm w.e.)</t>
  </si>
  <si>
    <t>Pavement type scaling factor</t>
  </si>
  <si>
    <t>Number of pavement types</t>
  </si>
  <si>
    <t>NB_sletta</t>
  </si>
  <si>
    <t>HCAB_before_2008</t>
  </si>
  <si>
    <t>Runeberg</t>
  </si>
  <si>
    <t>HCAB_after_2008</t>
  </si>
  <si>
    <t>Stavanger</t>
  </si>
  <si>
    <t>Finish/Honrnsgatan</t>
  </si>
  <si>
    <t>Driving cycle scaling factor</t>
  </si>
  <si>
    <t>Number of driving cycle types</t>
  </si>
  <si>
    <t>Index(d)</t>
  </si>
  <si>
    <t>hdrivingcycle (d)</t>
  </si>
  <si>
    <t>Reference</t>
  </si>
  <si>
    <t>Urban</t>
  </si>
  <si>
    <t>Highway</t>
  </si>
  <si>
    <t>Congested</t>
  </si>
  <si>
    <t>Road suspension</t>
  </si>
  <si>
    <t>f0,suspension(veh-1)</t>
  </si>
  <si>
    <t>Vref,suspension</t>
  </si>
  <si>
    <t>Vmin,suspension</t>
  </si>
  <si>
    <t xml:space="preserve">fsus=fsus0*(a1+a2*(max[V,Vmin]/Vref)a3) </t>
  </si>
  <si>
    <t>Suspension scaling factors</t>
  </si>
  <si>
    <t>Source</t>
  </si>
  <si>
    <t>PMall - PM200</t>
  </si>
  <si>
    <t>PM200 - PM10</t>
  </si>
  <si>
    <t>PM10 - PM2.5</t>
  </si>
  <si>
    <t>PM2.5</t>
  </si>
  <si>
    <t xml:space="preserve">h0,roadwear </t>
  </si>
  <si>
    <t>h0,tyrewear</t>
  </si>
  <si>
    <t xml:space="preserve">h0,brakewear </t>
  </si>
  <si>
    <t xml:space="preserve">h0,sand </t>
  </si>
  <si>
    <t xml:space="preserve">h0,depo </t>
  </si>
  <si>
    <t xml:space="preserve">h0,fugitive </t>
  </si>
  <si>
    <t xml:space="preserve">h0,exhaust </t>
  </si>
  <si>
    <t xml:space="preserve">h0,salt(1) </t>
  </si>
  <si>
    <t xml:space="preserve">h0,salt(2) </t>
  </si>
  <si>
    <t>h0,q_road</t>
  </si>
  <si>
    <t>Abrasion factor</t>
  </si>
  <si>
    <t>fabrasion (veh-1)</t>
  </si>
  <si>
    <t>Reference speed Vref,abrasion (km/hr)</t>
  </si>
  <si>
    <t>Abrasion scaling factor</t>
  </si>
  <si>
    <t>h0,abrasion</t>
  </si>
  <si>
    <t>Crushing factor</t>
  </si>
  <si>
    <t>f0,crushing (veh-1)</t>
  </si>
  <si>
    <t>Reference speed Vref,crushing (km/hr)</t>
  </si>
  <si>
    <t>Crushing scaling factor</t>
  </si>
  <si>
    <t>h0,crushing</t>
  </si>
  <si>
    <t>Sources participating in abrasion and crushing</t>
  </si>
  <si>
    <t>Abrasion</t>
  </si>
  <si>
    <t>Crushing</t>
  </si>
  <si>
    <t xml:space="preserve">p0,roadwear </t>
  </si>
  <si>
    <t>p0,tyrewear</t>
  </si>
  <si>
    <t xml:space="preserve">p0,brakewear </t>
  </si>
  <si>
    <t xml:space="preserve">p0,sand </t>
  </si>
  <si>
    <t xml:space="preserve">p0,depo </t>
  </si>
  <si>
    <t xml:space="preserve">p0,fugitive </t>
  </si>
  <si>
    <t xml:space="preserve">p0,exhaust </t>
  </si>
  <si>
    <t xml:space="preserve">p0,salt(1) </t>
  </si>
  <si>
    <t xml:space="preserve">p0,salt(2) </t>
  </si>
  <si>
    <t>Direct emission factor</t>
  </si>
  <si>
    <t>Source parameter</t>
  </si>
  <si>
    <t xml:space="preserve">f0,dir-roadwear </t>
  </si>
  <si>
    <t>f0,dir-tyrewear</t>
  </si>
  <si>
    <t xml:space="preserve">f0,dir-brakewear </t>
  </si>
  <si>
    <t>f0,dir-crushing</t>
  </si>
  <si>
    <t>f0,dir-abrasion</t>
  </si>
  <si>
    <t>f0,dir-exhaust</t>
  </si>
  <si>
    <t>Fractional size distribution</t>
  </si>
  <si>
    <t>PMall</t>
  </si>
  <si>
    <t>PM200</t>
  </si>
  <si>
    <t>PM10</t>
  </si>
  <si>
    <t xml:space="preserve">fPM,roadwear </t>
  </si>
  <si>
    <t>fPM,tyrewear</t>
  </si>
  <si>
    <t xml:space="preserve">fPM,brakewear </t>
  </si>
  <si>
    <t xml:space="preserve">fPM,sand </t>
  </si>
  <si>
    <t xml:space="preserve">fPM,depo </t>
  </si>
  <si>
    <t xml:space="preserve">fPM,fugitive </t>
  </si>
  <si>
    <t xml:space="preserve">fPM,exhaust </t>
  </si>
  <si>
    <t xml:space="preserve">fPM,salt(1) </t>
  </si>
  <si>
    <t xml:space="preserve">fPM,salt(2) </t>
  </si>
  <si>
    <t xml:space="preserve">fPM,crushing </t>
  </si>
  <si>
    <t xml:space="preserve">fPM,abrasion </t>
  </si>
  <si>
    <t>Reference speed Vref,PM-fraction (km/hr)</t>
  </si>
  <si>
    <t>cPM-fraction (km/hr)-1</t>
  </si>
  <si>
    <t>Wind blown dust emission factors</t>
  </si>
  <si>
    <t>twind (hr)</t>
  </si>
  <si>
    <t>FFthresh (m/s)</t>
  </si>
  <si>
    <t>Activity efficiency factors for dust and salt</t>
  </si>
  <si>
    <t>Efficiency parameter dust</t>
  </si>
  <si>
    <t>hploughing-eff</t>
  </si>
  <si>
    <t>hcleaning-eff</t>
  </si>
  <si>
    <t>hdrainage-eff</t>
  </si>
  <si>
    <t>hspraying-eff</t>
  </si>
  <si>
    <t>Efficiency parameter salt</t>
  </si>
  <si>
    <t>Salt(1)</t>
  </si>
  <si>
    <t>Salt(2)</t>
  </si>
  <si>
    <t>Deposition velocity</t>
  </si>
  <si>
    <t>wx (m/s)</t>
  </si>
  <si>
    <t>Concentration conversion limit values</t>
  </si>
  <si>
    <t>NOX,concentration-min (µg/m3)</t>
  </si>
  <si>
    <t>NOX,emission-min (g/km/hr)</t>
  </si>
  <si>
    <t>MOISTURE SUB-MODEL PARAMETERS</t>
  </si>
  <si>
    <t>Spray and splash factors</t>
  </si>
  <si>
    <t>Water</t>
  </si>
  <si>
    <t>Snow</t>
  </si>
  <si>
    <t>Ice</t>
  </si>
  <si>
    <t>f0,spray (veh-1) (he)</t>
  </si>
  <si>
    <t>f0,spray (veh-1) (li)</t>
  </si>
  <si>
    <t>Vref,spray  (km/hr)</t>
  </si>
  <si>
    <t>groad,sprayable-min (mm)</t>
  </si>
  <si>
    <t>Power law factor for spray aspray</t>
  </si>
  <si>
    <t>Vthresh,spray  (km/hr)</t>
  </si>
  <si>
    <t>Drainage parameters</t>
  </si>
  <si>
    <t>Value (min all types)</t>
  </si>
  <si>
    <t>Val (thresh for type 3)</t>
  </si>
  <si>
    <t>gdrainable (mm)</t>
  </si>
  <si>
    <t>Snow retainment limit (mm)</t>
  </si>
  <si>
    <t>Drainage time scale(hr)</t>
  </si>
  <si>
    <t>Ploughing parameters</t>
  </si>
  <si>
    <t>Ploughing efficiency for snow removal</t>
  </si>
  <si>
    <t>Ploughing threshold (mm)</t>
  </si>
  <si>
    <t>Energy balance parameters</t>
  </si>
  <si>
    <t>groad,evap-thresh  (mm)</t>
  </si>
  <si>
    <t>Roughness length (mm)</t>
  </si>
  <si>
    <t>Snow albedo</t>
  </si>
  <si>
    <t>Suburface slab depth (m)</t>
  </si>
  <si>
    <t>Suburf temperature average time (h)</t>
  </si>
  <si>
    <t xml:space="preserve">Subsurface parameters </t>
  </si>
  <si>
    <t>ρs (kg/m3)</t>
  </si>
  <si>
    <t>cs (J/kg/K)</t>
  </si>
  <si>
    <t>ks (W/m/K)</t>
  </si>
  <si>
    <t>Traffic turbulent exchange and heat flux</t>
  </si>
  <si>
    <t>atraffic  (veh-1)</t>
  </si>
  <si>
    <t>Hveh  (W m-2 veh-1)</t>
  </si>
  <si>
    <t>Retention parameters</t>
  </si>
  <si>
    <t>Road</t>
  </si>
  <si>
    <t>Brake</t>
  </si>
  <si>
    <t>Dust binder (g/m2)</t>
  </si>
  <si>
    <t>gretention-thresh (mm)</t>
  </si>
  <si>
    <t>gretention-min (mm)</t>
  </si>
  <si>
    <t>OSPM parameters</t>
  </si>
  <si>
    <t>f_roof and f_turb</t>
  </si>
  <si>
    <t>INTER-TRACK AND SHARED SUB-MODEL PARAMETERS</t>
  </si>
  <si>
    <t>Surface texture parameters</t>
  </si>
  <si>
    <t>Adjusted parameter</t>
  </si>
  <si>
    <t>texture_scaling(i)</t>
  </si>
  <si>
    <t>Master texture scaling</t>
  </si>
  <si>
    <t>f0,spray (veh-1)</t>
  </si>
  <si>
    <t>hdrainage-eff (dust)</t>
  </si>
  <si>
    <t>hspraying-eff (dust)</t>
  </si>
  <si>
    <t>Road track parameters</t>
  </si>
  <si>
    <t>Track type</t>
  </si>
  <si>
    <t>Include which tracks</t>
  </si>
  <si>
    <t>Fraction road area</t>
  </si>
  <si>
    <t>Fraction vehicles</t>
  </si>
  <si>
    <t>Migration factor (1/veh)</t>
  </si>
  <si>
    <t xml:space="preserve">falltrack </t>
  </si>
  <si>
    <t>fouttrack</t>
  </si>
  <si>
    <t>fintrack</t>
  </si>
  <si>
    <t>fshoulder</t>
  </si>
  <si>
    <t>fkerb</t>
  </si>
  <si>
    <t>Suspension rescaling</t>
  </si>
  <si>
    <t>Spray rescaling</t>
  </si>
  <si>
    <t>None</t>
  </si>
  <si>
    <t>ADT</t>
  </si>
  <si>
    <t>Number of lanes</t>
  </si>
  <si>
    <t>Input data</t>
  </si>
  <si>
    <t>Studded tyre fraction</t>
  </si>
  <si>
    <t>Number of sanding applications</t>
  </si>
  <si>
    <r>
      <t>Accumulated sand (kg/m</t>
    </r>
    <r>
      <rPr>
        <b/>
        <vertAlign val="super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)</t>
    </r>
  </si>
  <si>
    <t>Parameters NORTRIP</t>
  </si>
  <si>
    <t>Parameters EMEP/EEA</t>
  </si>
  <si>
    <t>Difference NORTRIP - EMEP/EEA</t>
  </si>
  <si>
    <t>Days since start of studded tyre season</t>
  </si>
  <si>
    <t>% heavy duty vehicles</t>
  </si>
  <si>
    <r>
      <t>Sand dosage (g/m</t>
    </r>
    <r>
      <rPr>
        <b/>
        <vertAlign val="super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)</t>
    </r>
  </si>
  <si>
    <t>Accumulated traffic (1000 veh.)</t>
  </si>
  <si>
    <t>Lane width</t>
  </si>
  <si>
    <r>
      <t>Percentage of sand in PM</t>
    </r>
    <r>
      <rPr>
        <b/>
        <vertAlign val="subscript"/>
        <sz val="12"/>
        <color theme="1"/>
        <rFont val="Aptos Narrow"/>
        <family val="2"/>
        <scheme val="minor"/>
      </rPr>
      <t>co</t>
    </r>
    <r>
      <rPr>
        <b/>
        <sz val="12"/>
        <color theme="1"/>
        <rFont val="Aptos Narrow"/>
        <family val="2"/>
        <scheme val="minor"/>
      </rPr>
      <t xml:space="preserve"> non-exhaust </t>
    </r>
  </si>
  <si>
    <t>Using EMEP/EEA wear parameters</t>
  </si>
  <si>
    <t>Using NORTRIP wear parameters</t>
  </si>
  <si>
    <t>Scaling coarse sand fraction</t>
  </si>
  <si>
    <t>Traffic speed (km/h)</t>
  </si>
  <si>
    <r>
      <t>Road wear scaling (h</t>
    </r>
    <r>
      <rPr>
        <b/>
        <vertAlign val="subscript"/>
        <sz val="11"/>
        <color theme="1"/>
        <rFont val="Aptos Narrow"/>
        <family val="2"/>
        <scheme val="minor"/>
      </rPr>
      <t>pave</t>
    </r>
    <r>
      <rPr>
        <b/>
        <sz val="11"/>
        <color theme="1"/>
        <rFont val="Aptos Narrow"/>
        <family val="2"/>
        <scheme val="minor"/>
      </rPr>
      <t>)</t>
    </r>
  </si>
  <si>
    <r>
      <t>Initial mass PM</t>
    </r>
    <r>
      <rPr>
        <b/>
        <vertAlign val="subscript"/>
        <sz val="12"/>
        <color theme="1"/>
        <rFont val="Aptos Narrow"/>
        <family val="2"/>
        <scheme val="minor"/>
      </rPr>
      <t>co</t>
    </r>
    <r>
      <rPr>
        <b/>
        <sz val="12"/>
        <color theme="1"/>
        <rFont val="Aptos Narrow"/>
        <family val="2"/>
        <scheme val="minor"/>
      </rPr>
      <t xml:space="preserve"> (g/m</t>
    </r>
    <r>
      <rPr>
        <b/>
        <vertAlign val="superscript"/>
        <sz val="12"/>
        <color theme="1"/>
        <rFont val="Aptos Narrow"/>
        <family val="2"/>
        <scheme val="minor"/>
      </rPr>
      <t>2</t>
    </r>
    <r>
      <rPr>
        <b/>
        <sz val="12"/>
        <color theme="1"/>
        <rFont val="Aptos Narrow"/>
        <family val="2"/>
        <scheme val="minor"/>
      </rPr>
      <t>)</t>
    </r>
  </si>
  <si>
    <t>a</t>
  </si>
  <si>
    <t>b1</t>
  </si>
  <si>
    <t>b2</t>
  </si>
  <si>
    <t>b3</t>
  </si>
  <si>
    <t>c</t>
  </si>
  <si>
    <t>NORTRIP model parameters with EMEP/EEA handbook wear rates and fractions</t>
  </si>
  <si>
    <t>NORTRIP model parameters</t>
  </si>
  <si>
    <r>
      <t>Percentage of sand in PM</t>
    </r>
    <r>
      <rPr>
        <b/>
        <vertAlign val="subscript"/>
        <sz val="12"/>
        <color theme="1"/>
        <rFont val="Aptos Narrow"/>
        <family val="2"/>
        <scheme val="minor"/>
      </rPr>
      <t>co</t>
    </r>
    <r>
      <rPr>
        <b/>
        <sz val="12"/>
        <color theme="1"/>
        <rFont val="Aptos Narrow"/>
        <family val="2"/>
        <scheme val="minor"/>
      </rPr>
      <t xml:space="preserve"> non-exhaust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</si>
</sst>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vertAlign val="superscript"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5" borderId="0" xfId="0" applyFont="1" applyFill="1"/>
    <xf numFmtId="164" fontId="0" fillId="5" borderId="0" xfId="0" applyNumberFormat="1" applyFill="1"/>
    <xf numFmtId="0" fontId="2" fillId="0" borderId="0" xfId="0" applyFont="1"/>
    <xf numFmtId="0" fontId="3" fillId="4" borderId="0" xfId="0" applyFont="1" applyFill="1"/>
    <xf numFmtId="1" fontId="3" fillId="4" borderId="0" xfId="0" applyNumberFormat="1" applyFont="1" applyFill="1"/>
    <xf numFmtId="0" fontId="3" fillId="0" borderId="0" xfId="0" applyFont="1"/>
    <xf numFmtId="0" fontId="4" fillId="0" borderId="0" xfId="0" applyFont="1"/>
    <xf numFmtId="0" fontId="3" fillId="6" borderId="0" xfId="0" applyFont="1" applyFill="1"/>
    <xf numFmtId="0" fontId="3" fillId="7" borderId="0" xfId="0" applyFont="1" applyFill="1"/>
    <xf numFmtId="0" fontId="0" fillId="8" borderId="0" xfId="0" applyFill="1"/>
    <xf numFmtId="0" fontId="6" fillId="8" borderId="0" xfId="0" applyFont="1" applyFill="1"/>
    <xf numFmtId="1" fontId="0" fillId="0" borderId="0" xfId="0" applyNumberFormat="1"/>
    <xf numFmtId="0" fontId="1" fillId="0" borderId="0" xfId="0" applyFont="1"/>
    <xf numFmtId="0" fontId="3" fillId="10" borderId="0" xfId="0" applyFont="1" applyFill="1"/>
    <xf numFmtId="0" fontId="3" fillId="12" borderId="0" xfId="0" applyFont="1" applyFill="1"/>
    <xf numFmtId="1" fontId="3" fillId="12" borderId="0" xfId="0" applyNumberFormat="1" applyFont="1" applyFill="1"/>
    <xf numFmtId="0" fontId="4" fillId="3" borderId="0" xfId="0" applyFont="1" applyFill="1" applyAlignment="1">
      <alignment wrapText="1"/>
    </xf>
    <xf numFmtId="1" fontId="3" fillId="3" borderId="0" xfId="0" applyNumberFormat="1" applyFont="1" applyFill="1" applyAlignment="1">
      <alignment wrapText="1"/>
    </xf>
    <xf numFmtId="2" fontId="3" fillId="3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1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14" borderId="0" xfId="0" applyFill="1"/>
    <xf numFmtId="0" fontId="1" fillId="14" borderId="0" xfId="0" applyFont="1" applyFill="1"/>
    <xf numFmtId="0" fontId="9" fillId="5" borderId="0" xfId="0" applyFont="1" applyFill="1"/>
    <xf numFmtId="0" fontId="4" fillId="9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4" fillId="1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</xdr:colOff>
      <xdr:row>1</xdr:row>
      <xdr:rowOff>76200</xdr:rowOff>
    </xdr:from>
    <xdr:to>
      <xdr:col>28</xdr:col>
      <xdr:colOff>439057</xdr:colOff>
      <xdr:row>23</xdr:row>
      <xdr:rowOff>238822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D511BD2-0942-30CB-B2A1-3222007AA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20925" y="381000"/>
          <a:ext cx="6496957" cy="4991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3AB9-05D9-47D5-8A9B-05F193450C3B}">
  <dimension ref="A1:R56"/>
  <sheetViews>
    <sheetView tabSelected="1" zoomScaleNormal="100" workbookViewId="0">
      <selection activeCell="P10" sqref="P10"/>
    </sheetView>
  </sheetViews>
  <sheetFormatPr defaultRowHeight="15" x14ac:dyDescent="0.25"/>
  <cols>
    <col min="1" max="1" width="25.5703125" customWidth="1"/>
    <col min="2" max="2" width="4.42578125" customWidth="1"/>
    <col min="3" max="4" width="19.140625" style="22" customWidth="1"/>
    <col min="5" max="14" width="8.7109375" customWidth="1"/>
    <col min="16" max="16" width="11.140625" bestFit="1" customWidth="1"/>
    <col min="17" max="17" width="14.140625" style="2" customWidth="1"/>
    <col min="18" max="18" width="26" customWidth="1"/>
    <col min="20" max="20" width="12.5703125" customWidth="1"/>
    <col min="25" max="25" width="12.28515625" customWidth="1"/>
    <col min="26" max="26" width="11.42578125" customWidth="1"/>
  </cols>
  <sheetData>
    <row r="1" spans="1:18" ht="24" customHeight="1" x14ac:dyDescent="0.35">
      <c r="A1" s="26" t="s">
        <v>200</v>
      </c>
      <c r="B1" s="27"/>
      <c r="C1" s="34" t="s">
        <v>214</v>
      </c>
      <c r="D1" s="34"/>
      <c r="E1" s="9" t="s">
        <v>212</v>
      </c>
      <c r="F1" s="8"/>
      <c r="G1" s="8"/>
      <c r="H1" s="8"/>
      <c r="I1" s="8"/>
      <c r="J1" s="8"/>
      <c r="K1" s="8"/>
      <c r="L1" s="8"/>
      <c r="M1" s="8"/>
      <c r="N1" s="8"/>
      <c r="P1" s="3" t="s">
        <v>204</v>
      </c>
      <c r="Q1" s="4"/>
      <c r="R1" s="32" t="s">
        <v>215</v>
      </c>
    </row>
    <row r="2" spans="1:18" ht="21" customHeight="1" x14ac:dyDescent="0.25">
      <c r="A2" s="23" t="s">
        <v>201</v>
      </c>
      <c r="B2" s="27"/>
      <c r="C2" s="35" t="s">
        <v>207</v>
      </c>
      <c r="D2" s="35"/>
      <c r="E2" s="10">
        <v>1</v>
      </c>
      <c r="F2" s="10">
        <v>5</v>
      </c>
      <c r="G2" s="10">
        <v>10</v>
      </c>
      <c r="H2" s="10">
        <v>30</v>
      </c>
      <c r="I2" s="10">
        <v>50</v>
      </c>
      <c r="J2" s="10">
        <v>70</v>
      </c>
      <c r="K2" s="10">
        <v>90</v>
      </c>
      <c r="L2" s="10">
        <v>110</v>
      </c>
      <c r="M2" s="10">
        <v>130</v>
      </c>
      <c r="N2" s="10">
        <v>150</v>
      </c>
      <c r="P2" s="33" t="s">
        <v>219</v>
      </c>
      <c r="Q2" s="4">
        <f>(Parameters_NORTRIP!D101-Parameters_NORTRIP!E101)*$R$2</f>
        <v>3.0000000000000001E-3</v>
      </c>
      <c r="R2" s="31">
        <v>1</v>
      </c>
    </row>
    <row r="3" spans="1:18" ht="21" customHeight="1" x14ac:dyDescent="0.25">
      <c r="A3" s="24">
        <v>0</v>
      </c>
      <c r="B3" s="28"/>
      <c r="C3" s="36" t="s">
        <v>210</v>
      </c>
      <c r="D3" s="36"/>
      <c r="E3" s="11">
        <f>E2*$A$5/1000</f>
        <v>22</v>
      </c>
      <c r="F3" s="11">
        <f t="shared" ref="F3:N3" si="0">F2*$A$5/1000</f>
        <v>110</v>
      </c>
      <c r="G3" s="11">
        <f t="shared" si="0"/>
        <v>220</v>
      </c>
      <c r="H3" s="11">
        <f t="shared" si="0"/>
        <v>660</v>
      </c>
      <c r="I3" s="11">
        <f t="shared" si="0"/>
        <v>1100</v>
      </c>
      <c r="J3" s="11">
        <f t="shared" si="0"/>
        <v>1540</v>
      </c>
      <c r="K3" s="11">
        <f t="shared" si="0"/>
        <v>1980</v>
      </c>
      <c r="L3" s="11">
        <f t="shared" si="0"/>
        <v>2420</v>
      </c>
      <c r="M3" s="11">
        <f t="shared" si="0"/>
        <v>2860</v>
      </c>
      <c r="N3" s="11">
        <f t="shared" si="0"/>
        <v>3300</v>
      </c>
      <c r="P3" s="33" t="s">
        <v>220</v>
      </c>
      <c r="Q3" s="4">
        <f>(1-$A$11/100)*(Parameters_NORTRIP!$D$98-Parameters_NORTRIP!$E$98)*(Parameters_NORTRIP!$B$7*$A$19*$A$17/Parameters_NORTRIP!$E$9)</f>
        <v>0.46315008000000002</v>
      </c>
    </row>
    <row r="4" spans="1:18" ht="33.75" x14ac:dyDescent="0.25">
      <c r="A4" s="23" t="s">
        <v>198</v>
      </c>
      <c r="B4" s="27"/>
      <c r="C4" s="19" t="s">
        <v>202</v>
      </c>
      <c r="D4" s="19" t="s">
        <v>203</v>
      </c>
      <c r="E4" s="6"/>
      <c r="F4" s="6"/>
      <c r="G4" s="6"/>
      <c r="H4" s="6"/>
      <c r="I4" s="6"/>
      <c r="J4" s="6"/>
      <c r="K4" s="6"/>
      <c r="L4" s="6"/>
      <c r="M4" s="6"/>
      <c r="N4" s="6"/>
      <c r="P4" s="33" t="s">
        <v>221</v>
      </c>
      <c r="Q4" s="4">
        <f>(1-$A$11/100)*(Parameters_NORTRIP!$D$98-Parameters_NORTRIP!$E$98)*(Parameters_NORTRIP!$C$7*$A$19*$A$17/Parameters_NORTRIP!$E$9)</f>
        <v>1.1578752000000001E-2</v>
      </c>
    </row>
    <row r="5" spans="1:18" ht="15.75" x14ac:dyDescent="0.25">
      <c r="A5" s="24">
        <v>22000</v>
      </c>
      <c r="B5" s="28"/>
      <c r="C5" s="20">
        <v>1</v>
      </c>
      <c r="D5" s="21">
        <f>C5*$A$15/1000</f>
        <v>0.25</v>
      </c>
      <c r="E5" s="7">
        <f t="shared" ref="E5:N15" si="1">($D5)*1000*$Q$2*$A$7*$A$9*1000/(($Q$3*$A$3+$Q$4*(1-$A$3)+$Q$5+$Q$6)*E$3*1000+($D5)*1000*$Q$2*$A$7*$A$9*1000+$A$13*$A$7*$A$9*1000)*100</f>
        <v>83.508687367071971</v>
      </c>
      <c r="F5" s="7">
        <f t="shared" si="1"/>
        <v>68.772589372193707</v>
      </c>
      <c r="G5" s="7">
        <f t="shared" si="1"/>
        <v>56.344312007145028</v>
      </c>
      <c r="H5" s="7">
        <f t="shared" si="1"/>
        <v>32.703898203003391</v>
      </c>
      <c r="I5" s="7">
        <f t="shared" si="1"/>
        <v>23.03788161439083</v>
      </c>
      <c r="J5" s="7">
        <f t="shared" si="1"/>
        <v>17.782158374294571</v>
      </c>
      <c r="K5" s="7">
        <f t="shared" si="1"/>
        <v>14.479005470749632</v>
      </c>
      <c r="L5" s="7">
        <f t="shared" si="1"/>
        <v>12.210773888538423</v>
      </c>
      <c r="M5" s="7">
        <f t="shared" si="1"/>
        <v>10.556957029695663</v>
      </c>
      <c r="N5" s="7">
        <f t="shared" si="1"/>
        <v>9.2976862851129507</v>
      </c>
      <c r="P5" s="33" t="s">
        <v>222</v>
      </c>
      <c r="Q5" s="4">
        <f>($A$11/100)*(Parameters_NORTRIP!$D$98-Parameters_NORTRIP!$E$98)*(Parameters_NORTRIP!$C$6)</f>
        <v>4.6368000000000008E-3</v>
      </c>
    </row>
    <row r="6" spans="1:18" ht="15.75" x14ac:dyDescent="0.25">
      <c r="A6" s="23" t="s">
        <v>211</v>
      </c>
      <c r="B6" s="27"/>
      <c r="C6" s="20">
        <v>2</v>
      </c>
      <c r="D6" s="21">
        <f t="shared" ref="D6:D15" si="2">C6*$A$15/1000</f>
        <v>0.5</v>
      </c>
      <c r="E6" s="7">
        <f t="shared" si="1"/>
        <v>91.013334099033429</v>
      </c>
      <c r="F6" s="7">
        <f t="shared" si="1"/>
        <v>81.497344596082144</v>
      </c>
      <c r="G6" s="7">
        <f t="shared" si="1"/>
        <v>72.077213790252955</v>
      </c>
      <c r="H6" s="7">
        <f t="shared" si="1"/>
        <v>49.288526781594165</v>
      </c>
      <c r="I6" s="7">
        <f t="shared" si="1"/>
        <v>37.448436712512873</v>
      </c>
      <c r="J6" s="7">
        <f t="shared" si="1"/>
        <v>30.19499492917333</v>
      </c>
      <c r="K6" s="7">
        <f t="shared" si="1"/>
        <v>25.295477386810706</v>
      </c>
      <c r="L6" s="7">
        <f t="shared" si="1"/>
        <v>21.763995497736556</v>
      </c>
      <c r="M6" s="7">
        <f t="shared" si="1"/>
        <v>19.097770621273629</v>
      </c>
      <c r="N6" s="7">
        <f t="shared" si="1"/>
        <v>17.013509802685284</v>
      </c>
      <c r="P6" s="33" t="s">
        <v>223</v>
      </c>
      <c r="Q6" s="4">
        <f>(Parameters_NORTRIP!$D$99-Parameters_NORTRIP!$E$99)*((1-$A$11/100)*Parameters_NORTRIP!$B$13+($A$11/100)*Parameters_NORTRIP!$B$12)+(Parameters_NORTRIP!$D$100-Parameters_NORTRIP!$E$100)*((1-$A$11/100)*Parameters_NORTRIP!$B$19*Parameters_NORTRIP!$C$41+($A$11/100)*Parameters_NORTRIP!$B$18*Parameters_NORTRIP!$C$41)</f>
        <v>1.4400000000000001E-2</v>
      </c>
    </row>
    <row r="7" spans="1:18" ht="15.75" x14ac:dyDescent="0.25">
      <c r="A7" s="24">
        <v>3.5</v>
      </c>
      <c r="B7" s="28"/>
      <c r="C7" s="20">
        <v>4</v>
      </c>
      <c r="D7" s="21">
        <f t="shared" si="2"/>
        <v>1</v>
      </c>
      <c r="E7" s="7">
        <f t="shared" si="1"/>
        <v>95.295267765805647</v>
      </c>
      <c r="F7" s="7">
        <f t="shared" si="1"/>
        <v>89.805550353866025</v>
      </c>
      <c r="G7" s="7">
        <f t="shared" si="1"/>
        <v>83.773106505674562</v>
      </c>
      <c r="H7" s="7">
        <f t="shared" si="1"/>
        <v>66.031232063401887</v>
      </c>
      <c r="I7" s="7">
        <f t="shared" si="1"/>
        <v>54.490887795020939</v>
      </c>
      <c r="J7" s="7">
        <f t="shared" si="1"/>
        <v>46.384263766206288</v>
      </c>
      <c r="K7" s="7">
        <f t="shared" si="1"/>
        <v>40.377319140927668</v>
      </c>
      <c r="L7" s="7">
        <f t="shared" si="1"/>
        <v>35.747834010819922</v>
      </c>
      <c r="M7" s="7">
        <f t="shared" si="1"/>
        <v>32.070744098147415</v>
      </c>
      <c r="N7" s="7">
        <f t="shared" si="1"/>
        <v>29.079564968821824</v>
      </c>
    </row>
    <row r="8" spans="1:18" ht="15.75" x14ac:dyDescent="0.25">
      <c r="A8" s="23" t="s">
        <v>199</v>
      </c>
      <c r="B8" s="27"/>
      <c r="C8" s="20">
        <v>6</v>
      </c>
      <c r="D8" s="21">
        <f t="shared" si="2"/>
        <v>1.5</v>
      </c>
      <c r="E8" s="7">
        <f t="shared" si="1"/>
        <v>96.813540379573155</v>
      </c>
      <c r="F8" s="7">
        <f t="shared" si="1"/>
        <v>92.964627741817864</v>
      </c>
      <c r="G8" s="7">
        <f t="shared" si="1"/>
        <v>88.563473336751201</v>
      </c>
      <c r="H8" s="7">
        <f t="shared" si="1"/>
        <v>74.46257142582229</v>
      </c>
      <c r="I8" s="7">
        <f t="shared" si="1"/>
        <v>64.23517352681462</v>
      </c>
      <c r="J8" s="7">
        <f t="shared" si="1"/>
        <v>56.477954059054994</v>
      </c>
      <c r="K8" s="7">
        <f t="shared" si="1"/>
        <v>50.392423817559148</v>
      </c>
      <c r="L8" s="7">
        <f t="shared" si="1"/>
        <v>45.490768762498028</v>
      </c>
      <c r="M8" s="7">
        <f t="shared" si="1"/>
        <v>41.458147888624914</v>
      </c>
      <c r="N8" s="7">
        <f t="shared" si="1"/>
        <v>38.082268454778514</v>
      </c>
    </row>
    <row r="9" spans="1:18" ht="15.75" x14ac:dyDescent="0.25">
      <c r="A9" s="24">
        <v>4</v>
      </c>
      <c r="B9" s="28"/>
      <c r="C9" s="20">
        <v>8</v>
      </c>
      <c r="D9" s="21">
        <f t="shared" si="2"/>
        <v>2</v>
      </c>
      <c r="E9" s="7">
        <f t="shared" si="1"/>
        <v>97.590964549209573</v>
      </c>
      <c r="F9" s="7">
        <f t="shared" si="1"/>
        <v>94.629003405259837</v>
      </c>
      <c r="G9" s="7">
        <f t="shared" si="1"/>
        <v>91.170147905278839</v>
      </c>
      <c r="H9" s="7">
        <f t="shared" si="1"/>
        <v>79.540736092576509</v>
      </c>
      <c r="I9" s="7">
        <f t="shared" si="1"/>
        <v>70.542526582305157</v>
      </c>
      <c r="J9" s="7">
        <f t="shared" si="1"/>
        <v>63.37329241931041</v>
      </c>
      <c r="K9" s="7">
        <f t="shared" si="1"/>
        <v>57.526841783311234</v>
      </c>
      <c r="L9" s="7">
        <f t="shared" si="1"/>
        <v>52.667999119559596</v>
      </c>
      <c r="M9" s="7">
        <f t="shared" si="1"/>
        <v>48.566008039319101</v>
      </c>
      <c r="N9" s="7">
        <f t="shared" si="1"/>
        <v>45.05680659188117</v>
      </c>
    </row>
    <row r="10" spans="1:18" ht="15.75" x14ac:dyDescent="0.25">
      <c r="A10" s="23" t="s">
        <v>208</v>
      </c>
      <c r="B10" s="27"/>
      <c r="C10" s="20">
        <v>10</v>
      </c>
      <c r="D10" s="21">
        <f t="shared" si="2"/>
        <v>2.5</v>
      </c>
      <c r="E10" s="7">
        <f t="shared" si="1"/>
        <v>98.06344116157905</v>
      </c>
      <c r="F10" s="7">
        <f t="shared" si="1"/>
        <v>95.656545364090107</v>
      </c>
      <c r="G10" s="7">
        <f t="shared" si="1"/>
        <v>92.80912968153433</v>
      </c>
      <c r="H10" s="7">
        <f t="shared" si="1"/>
        <v>82.934284937600154</v>
      </c>
      <c r="I10" s="7">
        <f t="shared" si="1"/>
        <v>74.958715309620558</v>
      </c>
      <c r="J10" s="7">
        <f t="shared" si="1"/>
        <v>68.382547565951839</v>
      </c>
      <c r="K10" s="7">
        <f t="shared" si="1"/>
        <v>62.867176884188638</v>
      </c>
      <c r="L10" s="7">
        <f t="shared" si="1"/>
        <v>58.17508551742003</v>
      </c>
      <c r="M10" s="7">
        <f t="shared" si="1"/>
        <v>54.13473955773086</v>
      </c>
      <c r="N10" s="7">
        <f t="shared" si="1"/>
        <v>50.619163581513803</v>
      </c>
    </row>
    <row r="11" spans="1:18" ht="15.75" x14ac:dyDescent="0.25">
      <c r="A11" s="24">
        <v>5</v>
      </c>
      <c r="B11" s="28"/>
      <c r="C11" s="20">
        <v>15</v>
      </c>
      <c r="D11" s="21">
        <f t="shared" si="2"/>
        <v>3.75</v>
      </c>
      <c r="E11" s="7">
        <f t="shared" si="1"/>
        <v>98.700572716416332</v>
      </c>
      <c r="F11" s="7">
        <f t="shared" si="1"/>
        <v>97.061824130725</v>
      </c>
      <c r="G11" s="7">
        <f t="shared" si="1"/>
        <v>95.08835648240435</v>
      </c>
      <c r="H11" s="7">
        <f t="shared" si="1"/>
        <v>87.936622763011115</v>
      </c>
      <c r="I11" s="7">
        <f t="shared" si="1"/>
        <v>81.785422104419268</v>
      </c>
      <c r="J11" s="7">
        <f t="shared" si="1"/>
        <v>76.43851828608301</v>
      </c>
      <c r="K11" s="7">
        <f t="shared" si="1"/>
        <v>71.747843488142323</v>
      </c>
      <c r="L11" s="7">
        <f t="shared" si="1"/>
        <v>67.599573445472615</v>
      </c>
      <c r="M11" s="7">
        <f t="shared" si="1"/>
        <v>63.904769161360484</v>
      </c>
      <c r="N11" s="7">
        <f t="shared" si="1"/>
        <v>60.592928559172144</v>
      </c>
    </row>
    <row r="12" spans="1:18" ht="19.5" x14ac:dyDescent="0.35">
      <c r="A12" s="23" t="s">
        <v>218</v>
      </c>
      <c r="B12" s="27"/>
      <c r="C12" s="20">
        <v>20</v>
      </c>
      <c r="D12" s="21">
        <f t="shared" si="2"/>
        <v>5</v>
      </c>
      <c r="E12" s="7">
        <f t="shared" si="1"/>
        <v>99.022253260337379</v>
      </c>
      <c r="F12" s="7">
        <f t="shared" si="1"/>
        <v>97.78006167499926</v>
      </c>
      <c r="G12" s="7">
        <f t="shared" si="1"/>
        <v>96.270472082757223</v>
      </c>
      <c r="H12" s="7">
        <f t="shared" si="1"/>
        <v>90.671122655755283</v>
      </c>
      <c r="I12" s="7">
        <f t="shared" si="1"/>
        <v>85.687317921794047</v>
      </c>
      <c r="J12" s="7">
        <f t="shared" si="1"/>
        <v>81.222844712178812</v>
      </c>
      <c r="K12" s="7">
        <f t="shared" si="1"/>
        <v>77.200548430813825</v>
      </c>
      <c r="L12" s="7">
        <f t="shared" si="1"/>
        <v>73.557836655650974</v>
      </c>
      <c r="M12" s="7">
        <f t="shared" si="1"/>
        <v>70.243398357908532</v>
      </c>
      <c r="N12" s="7">
        <f t="shared" si="1"/>
        <v>67.214771849558375</v>
      </c>
    </row>
    <row r="13" spans="1:18" ht="15.75" x14ac:dyDescent="0.25">
      <c r="A13" s="24">
        <v>0.1</v>
      </c>
      <c r="B13" s="28"/>
      <c r="C13" s="20">
        <v>25</v>
      </c>
      <c r="D13" s="21">
        <f t="shared" si="2"/>
        <v>6.25</v>
      </c>
      <c r="E13" s="7">
        <f t="shared" si="1"/>
        <v>99.216270029422887</v>
      </c>
      <c r="F13" s="7">
        <f t="shared" si="1"/>
        <v>98.216129173570536</v>
      </c>
      <c r="G13" s="7">
        <f t="shared" si="1"/>
        <v>96.9939554117813</v>
      </c>
      <c r="H13" s="7">
        <f t="shared" si="1"/>
        <v>92.395006012375688</v>
      </c>
      <c r="I13" s="7">
        <f t="shared" si="1"/>
        <v>88.212430878822673</v>
      </c>
      <c r="J13" s="7">
        <f t="shared" si="1"/>
        <v>84.392133088318474</v>
      </c>
      <c r="K13" s="7">
        <f t="shared" si="1"/>
        <v>80.888998016320002</v>
      </c>
      <c r="L13" s="7">
        <f t="shared" si="1"/>
        <v>77.665103353720639</v>
      </c>
      <c r="M13" s="7">
        <f t="shared" si="1"/>
        <v>74.688340764802561</v>
      </c>
      <c r="N13" s="7">
        <f t="shared" si="1"/>
        <v>71.931342820643209</v>
      </c>
    </row>
    <row r="14" spans="1:18" ht="18" x14ac:dyDescent="0.25">
      <c r="A14" s="23" t="s">
        <v>209</v>
      </c>
      <c r="B14" s="27"/>
      <c r="C14" s="20">
        <v>30</v>
      </c>
      <c r="D14" s="21">
        <f t="shared" si="2"/>
        <v>7.5</v>
      </c>
      <c r="E14" s="7">
        <f t="shared" si="1"/>
        <v>99.346037474467579</v>
      </c>
      <c r="F14" s="7">
        <f t="shared" si="1"/>
        <v>98.509008083003494</v>
      </c>
      <c r="G14" s="7">
        <f t="shared" si="1"/>
        <v>97.482349225675776</v>
      </c>
      <c r="H14" s="7">
        <f t="shared" si="1"/>
        <v>93.581146101470154</v>
      </c>
      <c r="I14" s="7">
        <f t="shared" si="1"/>
        <v>89.980176801460971</v>
      </c>
      <c r="J14" s="7">
        <f t="shared" si="1"/>
        <v>86.646066889026102</v>
      </c>
      <c r="K14" s="7">
        <f t="shared" si="1"/>
        <v>83.5502117883604</v>
      </c>
      <c r="L14" s="7">
        <f t="shared" si="1"/>
        <v>80.667954047586747</v>
      </c>
      <c r="M14" s="7">
        <f t="shared" si="1"/>
        <v>77.97792521637696</v>
      </c>
      <c r="N14" s="7">
        <f t="shared" si="1"/>
        <v>75.4615151523886</v>
      </c>
    </row>
    <row r="15" spans="1:18" ht="15.75" x14ac:dyDescent="0.25">
      <c r="A15" s="24">
        <v>250</v>
      </c>
      <c r="B15" s="28"/>
      <c r="C15" s="20">
        <v>35</v>
      </c>
      <c r="D15" s="21">
        <f t="shared" si="2"/>
        <v>8.75</v>
      </c>
      <c r="E15" s="7">
        <f t="shared" si="1"/>
        <v>99.438936528851386</v>
      </c>
      <c r="F15" s="7">
        <f t="shared" si="1"/>
        <v>98.71927900736307</v>
      </c>
      <c r="G15" s="7">
        <f t="shared" si="1"/>
        <v>97.834224097181036</v>
      </c>
      <c r="H15" s="7">
        <f t="shared" si="1"/>
        <v>94.447207279543804</v>
      </c>
      <c r="I15" s="7">
        <f t="shared" si="1"/>
        <v>91.286859939958362</v>
      </c>
      <c r="J15" s="7">
        <f t="shared" si="1"/>
        <v>88.331164696120993</v>
      </c>
      <c r="K15" s="7">
        <f t="shared" si="1"/>
        <v>85.560866258586358</v>
      </c>
      <c r="L15" s="7">
        <f t="shared" si="1"/>
        <v>82.959051469261567</v>
      </c>
      <c r="M15" s="7">
        <f t="shared" si="1"/>
        <v>80.510803702116391</v>
      </c>
      <c r="N15" s="7">
        <f t="shared" si="1"/>
        <v>78.202916704669377</v>
      </c>
    </row>
    <row r="16" spans="1:18" ht="15.75" x14ac:dyDescent="0.25">
      <c r="A16" s="30" t="s">
        <v>216</v>
      </c>
      <c r="B16" s="25"/>
      <c r="C16" s="20">
        <v>40</v>
      </c>
      <c r="D16" s="21">
        <f t="shared" ref="D16:D19" si="3">C16*$A$15/1000</f>
        <v>10</v>
      </c>
      <c r="E16" s="7">
        <f t="shared" ref="E16:N19" si="4">($D16)*1000*$Q$2*$A$7*$A$9*1000/(($Q$3*$A$3+$Q$4*(1-$A$3)+$Q$5+$Q$6)*E$3*1000+($D16)*1000*$Q$2*$A$7*$A$9*1000+$A$13*$A$7*$A$9*1000)*100</f>
        <v>99.508724917115856</v>
      </c>
      <c r="F16" s="7">
        <f t="shared" si="4"/>
        <v>98.877572235441704</v>
      </c>
      <c r="G16" s="7">
        <f t="shared" si="4"/>
        <v>98.099801830776542</v>
      </c>
      <c r="H16" s="7">
        <f t="shared" si="4"/>
        <v>95.107346506220864</v>
      </c>
      <c r="I16" s="7">
        <f t="shared" si="4"/>
        <v>92.292051908340866</v>
      </c>
      <c r="J16" s="7">
        <f t="shared" si="4"/>
        <v>89.638637823148969</v>
      </c>
      <c r="K16" s="7">
        <f t="shared" si="4"/>
        <v>87.13353216393233</v>
      </c>
      <c r="L16" s="7">
        <f t="shared" si="4"/>
        <v>84.764638777555263</v>
      </c>
      <c r="M16" s="7">
        <f t="shared" si="4"/>
        <v>82.521142124093913</v>
      </c>
      <c r="N16" s="7">
        <f t="shared" si="4"/>
        <v>80.393342174375476</v>
      </c>
    </row>
    <row r="17" spans="1:18" ht="15.75" x14ac:dyDescent="0.25">
      <c r="A17" s="29">
        <v>46</v>
      </c>
      <c r="B17" s="25"/>
      <c r="C17" s="20">
        <v>45</v>
      </c>
      <c r="D17" s="21">
        <f t="shared" si="3"/>
        <v>11.25</v>
      </c>
      <c r="E17" s="7">
        <f t="shared" si="4"/>
        <v>99.563072535684924</v>
      </c>
      <c r="F17" s="7">
        <f t="shared" si="4"/>
        <v>99.001040587303208</v>
      </c>
      <c r="G17" s="7">
        <f t="shared" si="4"/>
        <v>98.307361239497084</v>
      </c>
      <c r="H17" s="7">
        <f t="shared" si="4"/>
        <v>95.627202915604599</v>
      </c>
      <c r="I17" s="7">
        <f t="shared" si="4"/>
        <v>93.089304717957162</v>
      </c>
      <c r="J17" s="7">
        <f t="shared" si="4"/>
        <v>90.682632937612354</v>
      </c>
      <c r="K17" s="7">
        <f t="shared" si="4"/>
        <v>88.397266143523396</v>
      </c>
      <c r="L17" s="7">
        <f t="shared" si="4"/>
        <v>86.224258470822392</v>
      </c>
      <c r="M17" s="7">
        <f t="shared" si="4"/>
        <v>84.155522589442214</v>
      </c>
      <c r="N17" s="7">
        <f t="shared" si="4"/>
        <v>82.183729125256264</v>
      </c>
    </row>
    <row r="18" spans="1:18" ht="18" x14ac:dyDescent="0.35">
      <c r="A18" s="30" t="s">
        <v>217</v>
      </c>
      <c r="B18" s="25"/>
      <c r="C18" s="20">
        <v>50</v>
      </c>
      <c r="D18" s="21">
        <f t="shared" si="3"/>
        <v>12.5</v>
      </c>
      <c r="E18" s="7">
        <f t="shared" si="4"/>
        <v>99.606593391964751</v>
      </c>
      <c r="F18" s="7">
        <f t="shared" si="4"/>
        <v>99.100037502565002</v>
      </c>
      <c r="G18" s="7">
        <f t="shared" si="4"/>
        <v>98.474042220262504</v>
      </c>
      <c r="H18" s="7">
        <f t="shared" si="4"/>
        <v>96.047197822205902</v>
      </c>
      <c r="I18" s="7">
        <f t="shared" si="4"/>
        <v>93.737093205726367</v>
      </c>
      <c r="J18" s="7">
        <f t="shared" si="4"/>
        <v>91.535502816594786</v>
      </c>
      <c r="K18" s="7">
        <f t="shared" si="4"/>
        <v>89.434956137047223</v>
      </c>
      <c r="L18" s="7">
        <f t="shared" si="4"/>
        <v>87.428652996749776</v>
      </c>
      <c r="M18" s="7">
        <f t="shared" si="4"/>
        <v>85.510390032683048</v>
      </c>
      <c r="N18" s="7">
        <f t="shared" si="4"/>
        <v>83.674496622388574</v>
      </c>
    </row>
    <row r="19" spans="1:18" ht="15.75" x14ac:dyDescent="0.25">
      <c r="A19" s="29">
        <v>1</v>
      </c>
      <c r="B19" s="25"/>
      <c r="C19" s="20">
        <v>55</v>
      </c>
      <c r="D19" s="21">
        <f t="shared" si="3"/>
        <v>13.75</v>
      </c>
      <c r="E19" s="7">
        <f t="shared" si="4"/>
        <v>99.642229675231661</v>
      </c>
      <c r="F19" s="7">
        <f t="shared" si="4"/>
        <v>99.181182361270814</v>
      </c>
      <c r="G19" s="7">
        <f t="shared" si="4"/>
        <v>98.610838562326705</v>
      </c>
      <c r="H19" s="7">
        <f t="shared" si="4"/>
        <v>96.3935839755367</v>
      </c>
      <c r="I19" s="7">
        <f t="shared" si="4"/>
        <v>94.273846216628584</v>
      </c>
      <c r="J19" s="7">
        <f t="shared" si="4"/>
        <v>92.24533039780799</v>
      </c>
      <c r="K19" s="7">
        <f t="shared" si="4"/>
        <v>90.302272014095593</v>
      </c>
      <c r="L19" s="7">
        <f t="shared" si="4"/>
        <v>88.439382235693401</v>
      </c>
      <c r="M19" s="7">
        <f t="shared" si="4"/>
        <v>86.651799835024434</v>
      </c>
      <c r="N19" s="7">
        <f t="shared" si="4"/>
        <v>84.935048828319779</v>
      </c>
    </row>
    <row r="20" spans="1:18" x14ac:dyDescent="0.25">
      <c r="A20" s="25"/>
      <c r="B20" s="25"/>
      <c r="E20" s="5"/>
    </row>
    <row r="21" spans="1:18" x14ac:dyDescent="0.25">
      <c r="A21" s="25"/>
      <c r="B21" s="25"/>
    </row>
    <row r="22" spans="1:18" x14ac:dyDescent="0.25">
      <c r="A22" s="25"/>
      <c r="B22" s="25"/>
    </row>
    <row r="23" spans="1:18" x14ac:dyDescent="0.25">
      <c r="A23" s="25"/>
      <c r="B23" s="25"/>
    </row>
    <row r="24" spans="1:18" ht="21.75" customHeight="1" x14ac:dyDescent="0.35">
      <c r="A24" s="26" t="s">
        <v>200</v>
      </c>
      <c r="B24" s="27"/>
      <c r="C24" s="34" t="s">
        <v>213</v>
      </c>
      <c r="D24" s="34"/>
      <c r="E24" s="9" t="s">
        <v>226</v>
      </c>
      <c r="P24" s="3" t="s">
        <v>205</v>
      </c>
      <c r="Q24" s="4"/>
      <c r="R24" s="32" t="s">
        <v>215</v>
      </c>
    </row>
    <row r="25" spans="1:18" ht="21.75" customHeight="1" x14ac:dyDescent="0.25">
      <c r="A25" s="23" t="s">
        <v>201</v>
      </c>
      <c r="B25" s="27"/>
      <c r="C25" s="37" t="s">
        <v>207</v>
      </c>
      <c r="D25" s="37"/>
      <c r="E25" s="10">
        <v>1</v>
      </c>
      <c r="F25" s="10">
        <v>5</v>
      </c>
      <c r="G25" s="10">
        <v>10</v>
      </c>
      <c r="H25" s="10">
        <v>30</v>
      </c>
      <c r="I25" s="10">
        <v>50</v>
      </c>
      <c r="J25" s="10">
        <v>70</v>
      </c>
      <c r="K25" s="10">
        <v>90</v>
      </c>
      <c r="L25" s="10">
        <v>110</v>
      </c>
      <c r="M25" s="10">
        <v>130</v>
      </c>
      <c r="N25" s="10">
        <v>150</v>
      </c>
      <c r="P25" s="33" t="s">
        <v>219</v>
      </c>
      <c r="Q25" s="4">
        <f>('Parameters_EMEP-EEA'!D101-'Parameters_EMEP-EEA'!E101)*$R$25</f>
        <v>3.0000000000000001E-3</v>
      </c>
      <c r="R25" s="31">
        <v>1</v>
      </c>
    </row>
    <row r="26" spans="1:18" ht="20.25" customHeight="1" x14ac:dyDescent="0.25">
      <c r="A26" s="24">
        <v>0</v>
      </c>
      <c r="B26" s="28"/>
      <c r="C26" s="38" t="s">
        <v>210</v>
      </c>
      <c r="D26" s="38"/>
      <c r="E26" s="16">
        <f>E25*$A$5/1000</f>
        <v>22</v>
      </c>
      <c r="F26" s="16">
        <f t="shared" ref="F26:N26" si="5">F25*$A$5/1000</f>
        <v>110</v>
      </c>
      <c r="G26" s="16">
        <f t="shared" si="5"/>
        <v>220</v>
      </c>
      <c r="H26" s="16">
        <f t="shared" si="5"/>
        <v>660</v>
      </c>
      <c r="I26" s="16">
        <f t="shared" si="5"/>
        <v>1100</v>
      </c>
      <c r="J26" s="16">
        <f t="shared" si="5"/>
        <v>1540</v>
      </c>
      <c r="K26" s="16">
        <f t="shared" si="5"/>
        <v>1980</v>
      </c>
      <c r="L26" s="16">
        <f t="shared" si="5"/>
        <v>2420</v>
      </c>
      <c r="M26" s="16">
        <f t="shared" si="5"/>
        <v>2860</v>
      </c>
      <c r="N26" s="16">
        <f t="shared" si="5"/>
        <v>3300</v>
      </c>
      <c r="P26" s="33" t="s">
        <v>220</v>
      </c>
      <c r="Q26" s="4">
        <f>(1-$A$34/100)*('Parameters_EMEP-EEA'!$D$98-'Parameters_EMEP-EEA'!$E$98)*('Parameters_EMEP-EEA'!$B$7*$A$42*$A$40/'Parameters_EMEP-EEA'!$E$9)</f>
        <v>0.41352685714285703</v>
      </c>
    </row>
    <row r="27" spans="1:18" ht="33.75" x14ac:dyDescent="0.25">
      <c r="A27" s="23" t="s">
        <v>198</v>
      </c>
      <c r="B27" s="27"/>
      <c r="C27" s="19" t="s">
        <v>202</v>
      </c>
      <c r="D27" s="19" t="s">
        <v>203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P27" s="33" t="s">
        <v>221</v>
      </c>
      <c r="Q27" s="4">
        <f>(1-$A$34/100)*('Parameters_EMEP-EEA'!$D$98-'Parameters_EMEP-EEA'!$E$98)*('Parameters_EMEP-EEA'!$C$7*$A$42*$A$40/'Parameters_EMEP-EEA'!$E$9)</f>
        <v>2.1537857142857136E-3</v>
      </c>
    </row>
    <row r="28" spans="1:18" ht="15.75" x14ac:dyDescent="0.25">
      <c r="A28" s="24">
        <v>22000</v>
      </c>
      <c r="B28" s="28"/>
      <c r="C28" s="20">
        <v>1</v>
      </c>
      <c r="D28" s="21">
        <f>C28*$A$15/1000</f>
        <v>0.25</v>
      </c>
      <c r="E28" s="18">
        <f t="shared" ref="E28:N38" si="6">($D28)*1000*$Q$25*$A$30*$A$32*1000/(($Q$26*$A$26+$Q$27*(1-$A$26)+$Q$28+$Q$29)*E$26*1000+($D28)*1000*$Q$25*$A$30*$A$32*1000+$A$36*$A$30*$A$32*1000)*100</f>
        <v>86.571939532645089</v>
      </c>
      <c r="F28" s="18">
        <f t="shared" si="6"/>
        <v>80.501677693297268</v>
      </c>
      <c r="G28" s="18">
        <f t="shared" si="6"/>
        <v>74.014482066290995</v>
      </c>
      <c r="H28" s="18">
        <f t="shared" si="6"/>
        <v>55.972421055469276</v>
      </c>
      <c r="I28" s="18">
        <f t="shared" si="6"/>
        <v>45.002447582098085</v>
      </c>
      <c r="J28" s="18">
        <f t="shared" si="6"/>
        <v>37.627813619763415</v>
      </c>
      <c r="K28" s="18">
        <f t="shared" si="6"/>
        <v>32.329859933411051</v>
      </c>
      <c r="L28" s="18">
        <f t="shared" si="6"/>
        <v>28.339666831165268</v>
      </c>
      <c r="M28" s="18">
        <f t="shared" si="6"/>
        <v>25.226214794114448</v>
      </c>
      <c r="N28" s="18">
        <f t="shared" si="6"/>
        <v>22.729145738200131</v>
      </c>
      <c r="P28" s="33" t="s">
        <v>222</v>
      </c>
      <c r="Q28" s="4">
        <f>($A$34/100)*('Parameters_EMEP-EEA'!$D$98-'Parameters_EMEP-EEA'!$E$98)*('Parameters_EMEP-EEA'!$C$6)</f>
        <v>8.7399999999999999E-4</v>
      </c>
    </row>
    <row r="29" spans="1:18" ht="15.75" x14ac:dyDescent="0.25">
      <c r="A29" s="23" t="s">
        <v>211</v>
      </c>
      <c r="B29" s="27"/>
      <c r="C29" s="20">
        <v>2</v>
      </c>
      <c r="D29" s="21">
        <f t="shared" ref="D29:D38" si="7">C29*$A$15/1000</f>
        <v>0.5</v>
      </c>
      <c r="E29" s="18">
        <f t="shared" si="6"/>
        <v>92.802743809711345</v>
      </c>
      <c r="F29" s="18">
        <f t="shared" si="6"/>
        <v>89.197705774328767</v>
      </c>
      <c r="G29" s="18">
        <f t="shared" si="6"/>
        <v>85.067037165441334</v>
      </c>
      <c r="H29" s="18">
        <f t="shared" si="6"/>
        <v>71.772202645445276</v>
      </c>
      <c r="I29" s="18">
        <f t="shared" si="6"/>
        <v>62.071293736774216</v>
      </c>
      <c r="J29" s="18">
        <f t="shared" si="6"/>
        <v>54.680536775395005</v>
      </c>
      <c r="K29" s="18">
        <f t="shared" si="6"/>
        <v>48.86253178183604</v>
      </c>
      <c r="L29" s="18">
        <f t="shared" si="6"/>
        <v>44.163534986337396</v>
      </c>
      <c r="M29" s="18">
        <f t="shared" si="6"/>
        <v>40.289031870186435</v>
      </c>
      <c r="N29" s="18">
        <f t="shared" si="6"/>
        <v>37.039524069832353</v>
      </c>
      <c r="P29" s="33" t="s">
        <v>223</v>
      </c>
      <c r="Q29" s="4">
        <f>('Parameters_EMEP-EEA'!$D$99-'Parameters_EMEP-EEA'!$E$99)*((1-$A$34/100)*'Parameters_EMEP-EEA'!$B$13+($A$34/100)*'Parameters_EMEP-EEA'!$B$12)+('Parameters_EMEP-EEA'!$D$100-'Parameters_EMEP-EEA'!$E$100)*((1-$A$34/100)*'Parameters_EMEP-EEA'!$B$19*'Parameters_EMEP-EEA'!$C$41+($A$34/100)*'Parameters_EMEP-EEA'!$B$18*'Parameters_EMEP-EEA'!$C$41)</f>
        <v>7.365E-3</v>
      </c>
    </row>
    <row r="30" spans="1:18" ht="15.75" x14ac:dyDescent="0.25">
      <c r="A30" s="24">
        <v>3.5</v>
      </c>
      <c r="B30" s="28"/>
      <c r="C30" s="20">
        <v>4</v>
      </c>
      <c r="D30" s="21">
        <f t="shared" si="7"/>
        <v>1</v>
      </c>
      <c r="E30" s="18">
        <f t="shared" si="6"/>
        <v>96.267036429008471</v>
      </c>
      <c r="F30" s="18">
        <f t="shared" si="6"/>
        <v>94.290472930704567</v>
      </c>
      <c r="G30" s="18">
        <f t="shared" si="6"/>
        <v>91.931052086164158</v>
      </c>
      <c r="H30" s="18">
        <f t="shared" si="6"/>
        <v>83.566725628581665</v>
      </c>
      <c r="I30" s="18">
        <f t="shared" si="6"/>
        <v>76.597517432774282</v>
      </c>
      <c r="J30" s="18">
        <f t="shared" si="6"/>
        <v>70.701250351612472</v>
      </c>
      <c r="K30" s="18">
        <f t="shared" si="6"/>
        <v>65.647858056647891</v>
      </c>
      <c r="L30" s="18">
        <f t="shared" si="6"/>
        <v>61.268662689941458</v>
      </c>
      <c r="M30" s="18">
        <f t="shared" si="6"/>
        <v>57.437179989191264</v>
      </c>
      <c r="N30" s="18">
        <f t="shared" si="6"/>
        <v>54.056702723161557</v>
      </c>
    </row>
    <row r="31" spans="1:18" ht="15.75" x14ac:dyDescent="0.25">
      <c r="A31" s="23" t="s">
        <v>199</v>
      </c>
      <c r="B31" s="27"/>
      <c r="C31" s="20">
        <v>6</v>
      </c>
      <c r="D31" s="21">
        <f t="shared" si="7"/>
        <v>1.5</v>
      </c>
      <c r="E31" s="18">
        <f t="shared" si="6"/>
        <v>97.480000734481962</v>
      </c>
      <c r="F31" s="18">
        <f t="shared" si="6"/>
        <v>96.119801628345726</v>
      </c>
      <c r="G31" s="18">
        <f t="shared" si="6"/>
        <v>94.472018063049859</v>
      </c>
      <c r="H31" s="18">
        <f t="shared" si="6"/>
        <v>88.409589076439943</v>
      </c>
      <c r="I31" s="18">
        <f t="shared" si="6"/>
        <v>83.078313367065149</v>
      </c>
      <c r="J31" s="18">
        <f t="shared" si="6"/>
        <v>78.353443428627287</v>
      </c>
      <c r="K31" s="18">
        <f t="shared" si="6"/>
        <v>74.137083434697431</v>
      </c>
      <c r="L31" s="18">
        <f t="shared" si="6"/>
        <v>70.351333442524137</v>
      </c>
      <c r="M31" s="18">
        <f t="shared" si="6"/>
        <v>66.933432060904508</v>
      </c>
      <c r="N31" s="18">
        <f t="shared" si="6"/>
        <v>63.832249427481891</v>
      </c>
    </row>
    <row r="32" spans="1:18" ht="15.75" x14ac:dyDescent="0.25">
      <c r="A32" s="24">
        <v>4</v>
      </c>
      <c r="B32" s="28"/>
      <c r="C32" s="20">
        <v>8</v>
      </c>
      <c r="D32" s="21">
        <f t="shared" si="7"/>
        <v>2</v>
      </c>
      <c r="E32" s="18">
        <f t="shared" si="6"/>
        <v>98.09801806818345</v>
      </c>
      <c r="F32" s="18">
        <f t="shared" si="6"/>
        <v>97.06134480853737</v>
      </c>
      <c r="G32" s="18">
        <f t="shared" si="6"/>
        <v>95.795913258364564</v>
      </c>
      <c r="H32" s="18">
        <f t="shared" si="6"/>
        <v>91.047792395301258</v>
      </c>
      <c r="I32" s="18">
        <f t="shared" si="6"/>
        <v>86.748124827896078</v>
      </c>
      <c r="J32" s="18">
        <f t="shared" si="6"/>
        <v>82.836241920877782</v>
      </c>
      <c r="K32" s="18">
        <f t="shared" si="6"/>
        <v>79.261946187312333</v>
      </c>
      <c r="L32" s="18">
        <f t="shared" si="6"/>
        <v>75.983345639490892</v>
      </c>
      <c r="M32" s="18">
        <f t="shared" si="6"/>
        <v>72.965204271487295</v>
      </c>
      <c r="N32" s="18">
        <f t="shared" si="6"/>
        <v>70.177670646763019</v>
      </c>
    </row>
    <row r="33" spans="1:14" ht="15.75" x14ac:dyDescent="0.25">
      <c r="A33" s="23" t="s">
        <v>208</v>
      </c>
      <c r="B33" s="27"/>
      <c r="C33" s="20">
        <v>10</v>
      </c>
      <c r="D33" s="21">
        <f t="shared" si="7"/>
        <v>2.5</v>
      </c>
      <c r="E33" s="18">
        <f t="shared" si="6"/>
        <v>98.472604296485116</v>
      </c>
      <c r="F33" s="18">
        <f t="shared" si="6"/>
        <v>97.635177048342342</v>
      </c>
      <c r="G33" s="18">
        <f t="shared" si="6"/>
        <v>96.608211863622486</v>
      </c>
      <c r="H33" s="18">
        <f t="shared" si="6"/>
        <v>92.70766899406641</v>
      </c>
      <c r="I33" s="18">
        <f t="shared" si="6"/>
        <v>89.109870591251266</v>
      </c>
      <c r="J33" s="18">
        <f t="shared" si="6"/>
        <v>85.780886694967833</v>
      </c>
      <c r="K33" s="18">
        <f t="shared" si="6"/>
        <v>82.691674999306116</v>
      </c>
      <c r="L33" s="18">
        <f t="shared" si="6"/>
        <v>79.817231354393414</v>
      </c>
      <c r="M33" s="18">
        <f t="shared" si="6"/>
        <v>77.135911492555024</v>
      </c>
      <c r="N33" s="18">
        <f t="shared" si="6"/>
        <v>74.628885023642894</v>
      </c>
    </row>
    <row r="34" spans="1:14" ht="15.75" x14ac:dyDescent="0.25">
      <c r="A34" s="24">
        <v>5</v>
      </c>
      <c r="B34" s="28"/>
      <c r="C34" s="20">
        <v>15</v>
      </c>
      <c r="D34" s="21">
        <f t="shared" si="7"/>
        <v>3.75</v>
      </c>
      <c r="E34" s="18">
        <f t="shared" si="6"/>
        <v>98.976525361773142</v>
      </c>
      <c r="F34" s="18">
        <f t="shared" si="6"/>
        <v>98.410925096213646</v>
      </c>
      <c r="G34" s="18">
        <f t="shared" si="6"/>
        <v>97.712950619224912</v>
      </c>
      <c r="H34" s="18">
        <f t="shared" si="6"/>
        <v>95.017328359728481</v>
      </c>
      <c r="I34" s="18">
        <f t="shared" si="6"/>
        <v>92.466442334550791</v>
      </c>
      <c r="J34" s="18">
        <f t="shared" si="6"/>
        <v>90.048940312646479</v>
      </c>
      <c r="K34" s="18">
        <f t="shared" si="6"/>
        <v>87.754627014936787</v>
      </c>
      <c r="L34" s="18">
        <f t="shared" si="6"/>
        <v>85.57432038912232</v>
      </c>
      <c r="M34" s="18">
        <f t="shared" si="6"/>
        <v>83.499728790608785</v>
      </c>
      <c r="N34" s="18">
        <f t="shared" si="6"/>
        <v>81.52334560570867</v>
      </c>
    </row>
    <row r="35" spans="1:14" ht="19.5" x14ac:dyDescent="0.35">
      <c r="A35" s="23" t="s">
        <v>218</v>
      </c>
      <c r="B35" s="27"/>
      <c r="C35" s="20">
        <v>20</v>
      </c>
      <c r="D35" s="21">
        <f t="shared" si="7"/>
        <v>5</v>
      </c>
      <c r="E35" s="18">
        <f t="shared" si="6"/>
        <v>99.23042491988808</v>
      </c>
      <c r="F35" s="18">
        <f t="shared" si="6"/>
        <v>98.803440264543994</v>
      </c>
      <c r="G35" s="18">
        <f t="shared" si="6"/>
        <v>98.274849201756524</v>
      </c>
      <c r="H35" s="18">
        <f t="shared" si="6"/>
        <v>96.215858432619967</v>
      </c>
      <c r="I35" s="18">
        <f t="shared" si="6"/>
        <v>94.241374405946772</v>
      </c>
      <c r="J35" s="18">
        <f t="shared" si="6"/>
        <v>92.346299149503778</v>
      </c>
      <c r="K35" s="18">
        <f t="shared" si="6"/>
        <v>90.525936663091187</v>
      </c>
      <c r="L35" s="18">
        <f t="shared" si="6"/>
        <v>88.775954065364672</v>
      </c>
      <c r="M35" s="18">
        <f t="shared" si="6"/>
        <v>87.092347161684401</v>
      </c>
      <c r="N35" s="18">
        <f t="shared" si="6"/>
        <v>85.471409857010698</v>
      </c>
    </row>
    <row r="36" spans="1:14" ht="15.75" x14ac:dyDescent="0.25">
      <c r="A36" s="24">
        <v>0.1</v>
      </c>
      <c r="B36" s="28"/>
      <c r="C36" s="20">
        <v>25</v>
      </c>
      <c r="D36" s="21">
        <f t="shared" si="7"/>
        <v>6.25</v>
      </c>
      <c r="E36" s="18">
        <f t="shared" si="6"/>
        <v>99.383390881887536</v>
      </c>
      <c r="F36" s="18">
        <f t="shared" si="6"/>
        <v>99.04045590798539</v>
      </c>
      <c r="G36" s="18">
        <f t="shared" si="6"/>
        <v>98.615101042320561</v>
      </c>
      <c r="H36" s="18">
        <f t="shared" si="6"/>
        <v>96.949600458693226</v>
      </c>
      <c r="I36" s="18">
        <f t="shared" si="6"/>
        <v>95.339422482810292</v>
      </c>
      <c r="J36" s="18">
        <f t="shared" si="6"/>
        <v>93.781855686765596</v>
      </c>
      <c r="K36" s="18">
        <f t="shared" si="6"/>
        <v>92.274362981612597</v>
      </c>
      <c r="L36" s="18">
        <f t="shared" si="6"/>
        <v>90.814567827013576</v>
      </c>
      <c r="M36" s="18">
        <f t="shared" si="6"/>
        <v>89.400241729496059</v>
      </c>
      <c r="N36" s="18">
        <f t="shared" si="6"/>
        <v>88.029292890991442</v>
      </c>
    </row>
    <row r="37" spans="1:14" ht="18" x14ac:dyDescent="0.25">
      <c r="A37" s="23" t="s">
        <v>209</v>
      </c>
      <c r="B37" s="27"/>
      <c r="C37" s="20">
        <v>30</v>
      </c>
      <c r="D37" s="21">
        <f t="shared" si="7"/>
        <v>7.5</v>
      </c>
      <c r="E37" s="18">
        <f t="shared" si="6"/>
        <v>99.485630459992194</v>
      </c>
      <c r="F37" s="18">
        <f t="shared" si="6"/>
        <v>99.199099090427708</v>
      </c>
      <c r="G37" s="18">
        <f t="shared" si="6"/>
        <v>98.843247559852713</v>
      </c>
      <c r="H37" s="18">
        <f t="shared" si="6"/>
        <v>97.445010819202437</v>
      </c>
      <c r="I37" s="18">
        <f t="shared" si="6"/>
        <v>96.085781202130732</v>
      </c>
      <c r="J37" s="18">
        <f t="shared" si="6"/>
        <v>94.763948869705246</v>
      </c>
      <c r="K37" s="18">
        <f t="shared" si="6"/>
        <v>93.477991365779204</v>
      </c>
      <c r="L37" s="18">
        <f t="shared" si="6"/>
        <v>92.226467767399527</v>
      </c>
      <c r="M37" s="18">
        <f t="shared" si="6"/>
        <v>91.008013298908111</v>
      </c>
      <c r="N37" s="18">
        <f t="shared" si="6"/>
        <v>89.821334367412476</v>
      </c>
    </row>
    <row r="38" spans="1:14" ht="15.75" x14ac:dyDescent="0.25">
      <c r="A38" s="24">
        <v>250</v>
      </c>
      <c r="B38" s="28"/>
      <c r="C38" s="20">
        <v>35</v>
      </c>
      <c r="D38" s="21">
        <f t="shared" si="7"/>
        <v>8.75</v>
      </c>
      <c r="E38" s="18">
        <f t="shared" si="6"/>
        <v>99.558787613976108</v>
      </c>
      <c r="F38" s="18">
        <f t="shared" si="6"/>
        <v>99.312727166884954</v>
      </c>
      <c r="G38" s="18">
        <f t="shared" si="6"/>
        <v>99.006856735738964</v>
      </c>
      <c r="H38" s="18">
        <f t="shared" si="6"/>
        <v>97.801986558513164</v>
      </c>
      <c r="I38" s="18">
        <f t="shared" si="6"/>
        <v>96.626089280741127</v>
      </c>
      <c r="J38" s="18">
        <f t="shared" si="6"/>
        <v>95.478132273144141</v>
      </c>
      <c r="K38" s="18">
        <f t="shared" si="6"/>
        <v>94.357131402504109</v>
      </c>
      <c r="L38" s="18">
        <f t="shared" si="6"/>
        <v>93.262148217759972</v>
      </c>
      <c r="M38" s="18">
        <f t="shared" si="6"/>
        <v>92.192287329783326</v>
      </c>
      <c r="N38" s="18">
        <f t="shared" si="6"/>
        <v>91.146693969456578</v>
      </c>
    </row>
    <row r="39" spans="1:14" ht="15.75" x14ac:dyDescent="0.25">
      <c r="A39" s="30" t="s">
        <v>216</v>
      </c>
      <c r="B39" s="25"/>
      <c r="C39" s="20">
        <v>40</v>
      </c>
      <c r="D39" s="21">
        <f t="shared" ref="D39:D42" si="8">C39*$A$15/1000</f>
        <v>10</v>
      </c>
      <c r="E39" s="18">
        <f t="shared" ref="E39:N42" si="9">($D39)*1000*$Q$25*$A$30*$A$32*1000/(($Q$26*$A$26+$Q$27*(1-$A$26)+$Q$28+$Q$29)*E$26*1000+($D39)*1000*$Q$25*$A$30*$A$32*1000+$A$36*$A$30*$A$32*1000)*100</f>
        <v>99.613726126207197</v>
      </c>
      <c r="F39" s="18">
        <f t="shared" si="9"/>
        <v>99.398119200621593</v>
      </c>
      <c r="G39" s="18">
        <f t="shared" si="9"/>
        <v>99.129919500537341</v>
      </c>
      <c r="H39" s="18">
        <f t="shared" si="9"/>
        <v>98.071439486284191</v>
      </c>
      <c r="I39" s="18">
        <f t="shared" si="9"/>
        <v>97.035324934419876</v>
      </c>
      <c r="J39" s="18">
        <f t="shared" si="9"/>
        <v>96.020874389401541</v>
      </c>
      <c r="K39" s="18">
        <f t="shared" si="9"/>
        <v>95.027415425511379</v>
      </c>
      <c r="L39" s="18">
        <f t="shared" si="9"/>
        <v>94.054303160481467</v>
      </c>
      <c r="M39" s="18">
        <f t="shared" si="9"/>
        <v>93.100918859518671</v>
      </c>
      <c r="N39" s="18">
        <f t="shared" si="9"/>
        <v>92.166668623379664</v>
      </c>
    </row>
    <row r="40" spans="1:14" ht="15.75" x14ac:dyDescent="0.25">
      <c r="A40" s="29">
        <v>46</v>
      </c>
      <c r="B40" s="25"/>
      <c r="C40" s="20">
        <v>45</v>
      </c>
      <c r="D40" s="21">
        <f t="shared" si="8"/>
        <v>11.25</v>
      </c>
      <c r="E40" s="18">
        <f t="shared" si="9"/>
        <v>99.656498016804505</v>
      </c>
      <c r="F40" s="18">
        <f t="shared" si="9"/>
        <v>99.464636817418878</v>
      </c>
      <c r="G40" s="18">
        <f t="shared" si="9"/>
        <v>99.225846694149851</v>
      </c>
      <c r="H40" s="18">
        <f t="shared" si="9"/>
        <v>98.282042671510411</v>
      </c>
      <c r="I40" s="18">
        <f t="shared" si="9"/>
        <v>97.356023796902875</v>
      </c>
      <c r="J40" s="18">
        <f t="shared" si="9"/>
        <v>96.447292044788526</v>
      </c>
      <c r="K40" s="18">
        <f t="shared" si="9"/>
        <v>95.555367812169578</v>
      </c>
      <c r="L40" s="18">
        <f t="shared" si="9"/>
        <v>94.679789074555771</v>
      </c>
      <c r="M40" s="18">
        <f t="shared" si="9"/>
        <v>93.820110587913064</v>
      </c>
      <c r="N40" s="18">
        <f t="shared" si="9"/>
        <v>92.975903133698353</v>
      </c>
    </row>
    <row r="41" spans="1:14" ht="18" x14ac:dyDescent="0.35">
      <c r="A41" s="30" t="s">
        <v>217</v>
      </c>
      <c r="B41" s="25"/>
      <c r="C41" s="20">
        <v>50</v>
      </c>
      <c r="D41" s="21">
        <f t="shared" si="8"/>
        <v>12.5</v>
      </c>
      <c r="E41" s="18">
        <f t="shared" si="9"/>
        <v>99.690741984382385</v>
      </c>
      <c r="F41" s="18">
        <f t="shared" si="9"/>
        <v>99.517915045141294</v>
      </c>
      <c r="G41" s="18">
        <f t="shared" si="9"/>
        <v>99.302722224840124</v>
      </c>
      <c r="H41" s="18">
        <f t="shared" si="9"/>
        <v>98.451177593555698</v>
      </c>
      <c r="I41" s="18">
        <f t="shared" si="9"/>
        <v>97.614113189261715</v>
      </c>
      <c r="J41" s="18">
        <f t="shared" si="9"/>
        <v>96.791162778786884</v>
      </c>
      <c r="K41" s="18">
        <f t="shared" si="9"/>
        <v>95.981972376043601</v>
      </c>
      <c r="L41" s="18">
        <f t="shared" si="9"/>
        <v>95.186199734333883</v>
      </c>
      <c r="M41" s="18">
        <f t="shared" si="9"/>
        <v>94.403513863703154</v>
      </c>
      <c r="N41" s="18">
        <f t="shared" si="9"/>
        <v>93.633594571911473</v>
      </c>
    </row>
    <row r="42" spans="1:14" ht="15.75" x14ac:dyDescent="0.25">
      <c r="A42" s="29">
        <v>1</v>
      </c>
      <c r="B42" s="25"/>
      <c r="C42" s="20">
        <v>55</v>
      </c>
      <c r="D42" s="21">
        <f t="shared" si="8"/>
        <v>13.75</v>
      </c>
      <c r="E42" s="18">
        <f t="shared" si="9"/>
        <v>99.718777285457932</v>
      </c>
      <c r="F42" s="18">
        <f t="shared" si="9"/>
        <v>99.561548794919901</v>
      </c>
      <c r="G42" s="18">
        <f t="shared" si="9"/>
        <v>99.365709043502875</v>
      </c>
      <c r="H42" s="18">
        <f t="shared" si="9"/>
        <v>98.589994313777879</v>
      </c>
      <c r="I42" s="18">
        <f t="shared" si="9"/>
        <v>97.826297255047336</v>
      </c>
      <c r="J42" s="18">
        <f t="shared" si="9"/>
        <v>97.074340740416503</v>
      </c>
      <c r="K42" s="18">
        <f t="shared" si="9"/>
        <v>96.333856098704345</v>
      </c>
      <c r="L42" s="18">
        <f t="shared" si="9"/>
        <v>95.604582794383433</v>
      </c>
      <c r="M42" s="18">
        <f t="shared" si="9"/>
        <v>94.886268121948092</v>
      </c>
      <c r="N42" s="18">
        <f t="shared" si="9"/>
        <v>94.178666913957983</v>
      </c>
    </row>
    <row r="45" spans="1:14" ht="15.75" x14ac:dyDescent="0.25">
      <c r="A45" s="15" t="s">
        <v>206</v>
      </c>
      <c r="B45" s="15"/>
      <c r="E45" s="18">
        <f t="shared" ref="E45:E55" si="10">E28-E5</f>
        <v>3.0632521655731182</v>
      </c>
      <c r="F45" s="18">
        <f t="shared" ref="F45:N45" si="11">F28-F5</f>
        <v>11.729088321103561</v>
      </c>
      <c r="G45" s="18">
        <f t="shared" si="11"/>
        <v>17.670170059145967</v>
      </c>
      <c r="H45" s="18">
        <f t="shared" si="11"/>
        <v>23.268522852465885</v>
      </c>
      <c r="I45" s="18">
        <f t="shared" si="11"/>
        <v>21.964565967707255</v>
      </c>
      <c r="J45" s="18">
        <f t="shared" si="11"/>
        <v>19.845655245468844</v>
      </c>
      <c r="K45" s="18">
        <f t="shared" si="11"/>
        <v>17.850854462661417</v>
      </c>
      <c r="L45" s="18">
        <f t="shared" si="11"/>
        <v>16.128892942626845</v>
      </c>
      <c r="M45" s="18">
        <f t="shared" si="11"/>
        <v>14.669257764418784</v>
      </c>
      <c r="N45" s="18">
        <f t="shared" si="11"/>
        <v>13.43145945308718</v>
      </c>
    </row>
    <row r="46" spans="1:14" ht="15.75" x14ac:dyDescent="0.25">
      <c r="E46" s="18">
        <f t="shared" si="10"/>
        <v>1.7894097106779157</v>
      </c>
      <c r="F46" s="18">
        <f t="shared" ref="F46:N46" si="12">F29-F6</f>
        <v>7.7003611782466237</v>
      </c>
      <c r="G46" s="18">
        <f t="shared" si="12"/>
        <v>12.989823375188379</v>
      </c>
      <c r="H46" s="18">
        <f t="shared" si="12"/>
        <v>22.483675863851111</v>
      </c>
      <c r="I46" s="18">
        <f t="shared" si="12"/>
        <v>24.622857024261343</v>
      </c>
      <c r="J46" s="18">
        <f t="shared" si="12"/>
        <v>24.485541846221675</v>
      </c>
      <c r="K46" s="18">
        <f t="shared" si="12"/>
        <v>23.567054395025334</v>
      </c>
      <c r="L46" s="18">
        <f t="shared" si="12"/>
        <v>22.399539488600841</v>
      </c>
      <c r="M46" s="18">
        <f t="shared" si="12"/>
        <v>21.191261248912806</v>
      </c>
      <c r="N46" s="18">
        <f t="shared" si="12"/>
        <v>20.026014267147069</v>
      </c>
    </row>
    <row r="47" spans="1:14" ht="15.75" x14ac:dyDescent="0.25">
      <c r="E47" s="18">
        <f t="shared" si="10"/>
        <v>0.97176866320282329</v>
      </c>
      <c r="F47" s="18">
        <f t="shared" ref="F47:N47" si="13">F30-F7</f>
        <v>4.4849225768385423</v>
      </c>
      <c r="G47" s="18">
        <f t="shared" si="13"/>
        <v>8.1579455804895957</v>
      </c>
      <c r="H47" s="18">
        <f t="shared" si="13"/>
        <v>17.535493565179777</v>
      </c>
      <c r="I47" s="18">
        <f t="shared" si="13"/>
        <v>22.106629637753343</v>
      </c>
      <c r="J47" s="18">
        <f t="shared" si="13"/>
        <v>24.316986585406184</v>
      </c>
      <c r="K47" s="18">
        <f t="shared" si="13"/>
        <v>25.270538915720223</v>
      </c>
      <c r="L47" s="18">
        <f t="shared" si="13"/>
        <v>25.520828679121536</v>
      </c>
      <c r="M47" s="18">
        <f t="shared" si="13"/>
        <v>25.366435891043849</v>
      </c>
      <c r="N47" s="18">
        <f t="shared" si="13"/>
        <v>24.977137754339733</v>
      </c>
    </row>
    <row r="48" spans="1:14" ht="15.75" x14ac:dyDescent="0.25">
      <c r="E48" s="18">
        <f t="shared" si="10"/>
        <v>0.66646035490880706</v>
      </c>
      <c r="F48" s="18">
        <f t="shared" ref="F48:N48" si="14">F31-F8</f>
        <v>3.1551738865278622</v>
      </c>
      <c r="G48" s="18">
        <f t="shared" si="14"/>
        <v>5.9085447262986577</v>
      </c>
      <c r="H48" s="18">
        <f t="shared" si="14"/>
        <v>13.947017650617653</v>
      </c>
      <c r="I48" s="18">
        <f t="shared" si="14"/>
        <v>18.843139840250529</v>
      </c>
      <c r="J48" s="18">
        <f t="shared" si="14"/>
        <v>21.875489369572293</v>
      </c>
      <c r="K48" s="18">
        <f t="shared" si="14"/>
        <v>23.744659617138282</v>
      </c>
      <c r="L48" s="18">
        <f t="shared" si="14"/>
        <v>24.860564680026108</v>
      </c>
      <c r="M48" s="18">
        <f t="shared" si="14"/>
        <v>25.475284172279594</v>
      </c>
      <c r="N48" s="18">
        <f t="shared" si="14"/>
        <v>25.749980972703376</v>
      </c>
    </row>
    <row r="49" spans="5:14" ht="15.75" x14ac:dyDescent="0.25">
      <c r="E49" s="18">
        <f t="shared" si="10"/>
        <v>0.50705351897387629</v>
      </c>
      <c r="F49" s="18">
        <f t="shared" ref="F49:N49" si="15">F32-F9</f>
        <v>2.4323414032775332</v>
      </c>
      <c r="G49" s="18">
        <f t="shared" si="15"/>
        <v>4.6257653530857255</v>
      </c>
      <c r="H49" s="18">
        <f t="shared" si="15"/>
        <v>11.507056302724749</v>
      </c>
      <c r="I49" s="18">
        <f t="shared" si="15"/>
        <v>16.20559824559092</v>
      </c>
      <c r="J49" s="18">
        <f t="shared" si="15"/>
        <v>19.462949501567373</v>
      </c>
      <c r="K49" s="18">
        <f t="shared" si="15"/>
        <v>21.735104404001099</v>
      </c>
      <c r="L49" s="18">
        <f t="shared" si="15"/>
        <v>23.315346519931296</v>
      </c>
      <c r="M49" s="18">
        <f t="shared" si="15"/>
        <v>24.399196232168194</v>
      </c>
      <c r="N49" s="18">
        <f t="shared" si="15"/>
        <v>25.120864054881849</v>
      </c>
    </row>
    <row r="50" spans="5:14" ht="15.75" x14ac:dyDescent="0.25">
      <c r="E50" s="18">
        <f t="shared" si="10"/>
        <v>0.40916313490606626</v>
      </c>
      <c r="F50" s="18">
        <f t="shared" ref="F50:N50" si="16">F33-F10</f>
        <v>1.9786316842522353</v>
      </c>
      <c r="G50" s="18">
        <f t="shared" si="16"/>
        <v>3.7990821820881564</v>
      </c>
      <c r="H50" s="18">
        <f t="shared" si="16"/>
        <v>9.7733840564662557</v>
      </c>
      <c r="I50" s="18">
        <f t="shared" si="16"/>
        <v>14.151155281630707</v>
      </c>
      <c r="J50" s="18">
        <f t="shared" si="16"/>
        <v>17.398339129015994</v>
      </c>
      <c r="K50" s="18">
        <f t="shared" si="16"/>
        <v>19.824498115117478</v>
      </c>
      <c r="L50" s="18">
        <f t="shared" si="16"/>
        <v>21.642145836973384</v>
      </c>
      <c r="M50" s="18">
        <f t="shared" si="16"/>
        <v>23.001171934824164</v>
      </c>
      <c r="N50" s="18">
        <f t="shared" si="16"/>
        <v>24.009721442129091</v>
      </c>
    </row>
    <row r="51" spans="5:14" ht="15.75" x14ac:dyDescent="0.25">
      <c r="E51" s="18">
        <f t="shared" si="10"/>
        <v>0.27595264535680997</v>
      </c>
      <c r="F51" s="18">
        <f t="shared" ref="F51:N51" si="17">F34-F11</f>
        <v>1.3491009654886454</v>
      </c>
      <c r="G51" s="18">
        <f t="shared" si="17"/>
        <v>2.6245941368205621</v>
      </c>
      <c r="H51" s="18">
        <f t="shared" si="17"/>
        <v>7.0807055967173653</v>
      </c>
      <c r="I51" s="18">
        <f t="shared" si="17"/>
        <v>10.681020230131523</v>
      </c>
      <c r="J51" s="18">
        <f t="shared" si="17"/>
        <v>13.610422026563469</v>
      </c>
      <c r="K51" s="18">
        <f t="shared" si="17"/>
        <v>16.006783526794464</v>
      </c>
      <c r="L51" s="18">
        <f t="shared" si="17"/>
        <v>17.974746943649706</v>
      </c>
      <c r="M51" s="18">
        <f t="shared" si="17"/>
        <v>19.594959629248301</v>
      </c>
      <c r="N51" s="18">
        <f t="shared" si="17"/>
        <v>20.930417046536526</v>
      </c>
    </row>
    <row r="52" spans="5:14" ht="15.75" x14ac:dyDescent="0.25">
      <c r="E52" s="18">
        <f t="shared" si="10"/>
        <v>0.20817165955070038</v>
      </c>
      <c r="F52" s="18">
        <f t="shared" ref="F52:N52" si="18">F35-F12</f>
        <v>1.023378589544734</v>
      </c>
      <c r="G52" s="18">
        <f t="shared" si="18"/>
        <v>2.0043771189993009</v>
      </c>
      <c r="H52" s="18">
        <f t="shared" si="18"/>
        <v>5.5447357768646839</v>
      </c>
      <c r="I52" s="18">
        <f t="shared" si="18"/>
        <v>8.5540564841527242</v>
      </c>
      <c r="J52" s="18">
        <f t="shared" si="18"/>
        <v>11.123454437324966</v>
      </c>
      <c r="K52" s="18">
        <f t="shared" si="18"/>
        <v>13.325388232277362</v>
      </c>
      <c r="L52" s="18">
        <f t="shared" si="18"/>
        <v>15.218117409713699</v>
      </c>
      <c r="M52" s="18">
        <f t="shared" si="18"/>
        <v>16.848948803775869</v>
      </c>
      <c r="N52" s="18">
        <f t="shared" si="18"/>
        <v>18.256638007452324</v>
      </c>
    </row>
    <row r="53" spans="5:14" ht="15.75" x14ac:dyDescent="0.25">
      <c r="E53" s="18">
        <f t="shared" si="10"/>
        <v>0.16712085246464881</v>
      </c>
      <c r="F53" s="18">
        <f t="shared" ref="F53:N53" si="19">F36-F13</f>
        <v>0.82432673441485349</v>
      </c>
      <c r="G53" s="18">
        <f t="shared" si="19"/>
        <v>1.6211456305392602</v>
      </c>
      <c r="H53" s="18">
        <f t="shared" si="19"/>
        <v>4.5545944463175374</v>
      </c>
      <c r="I53" s="18">
        <f t="shared" si="19"/>
        <v>7.1269916039876193</v>
      </c>
      <c r="J53" s="18">
        <f t="shared" si="19"/>
        <v>9.389722598447122</v>
      </c>
      <c r="K53" s="18">
        <f t="shared" si="19"/>
        <v>11.385364965292595</v>
      </c>
      <c r="L53" s="18">
        <f t="shared" si="19"/>
        <v>13.149464473292937</v>
      </c>
      <c r="M53" s="18">
        <f t="shared" si="19"/>
        <v>14.711900964693498</v>
      </c>
      <c r="N53" s="18">
        <f t="shared" si="19"/>
        <v>16.097950070348233</v>
      </c>
    </row>
    <row r="54" spans="5:14" ht="15.75" x14ac:dyDescent="0.25">
      <c r="E54" s="18">
        <f t="shared" si="10"/>
        <v>0.13959298552461519</v>
      </c>
      <c r="F54" s="18">
        <f t="shared" ref="F54:N54" si="20">F37-F14</f>
        <v>0.69009100742421481</v>
      </c>
      <c r="G54" s="18">
        <f t="shared" si="20"/>
        <v>1.3608983341769374</v>
      </c>
      <c r="H54" s="18">
        <f t="shared" si="20"/>
        <v>3.8638647177322838</v>
      </c>
      <c r="I54" s="18">
        <f t="shared" si="20"/>
        <v>6.1056044006697618</v>
      </c>
      <c r="J54" s="18">
        <f t="shared" si="20"/>
        <v>8.1178819806791438</v>
      </c>
      <c r="K54" s="18">
        <f t="shared" si="20"/>
        <v>9.9277795774188036</v>
      </c>
      <c r="L54" s="18">
        <f t="shared" si="20"/>
        <v>11.55851371981278</v>
      </c>
      <c r="M54" s="18">
        <f t="shared" si="20"/>
        <v>13.030088082531151</v>
      </c>
      <c r="N54" s="18">
        <f t="shared" si="20"/>
        <v>14.359819215023876</v>
      </c>
    </row>
    <row r="55" spans="5:14" ht="15.75" x14ac:dyDescent="0.25">
      <c r="E55" s="18">
        <f t="shared" si="10"/>
        <v>0.11985108512472209</v>
      </c>
      <c r="F55" s="18">
        <f t="shared" ref="F55:N55" si="21">F38-F15</f>
        <v>0.59344815952188412</v>
      </c>
      <c r="G55" s="18">
        <f t="shared" si="21"/>
        <v>1.1726326385579284</v>
      </c>
      <c r="H55" s="18">
        <f t="shared" si="21"/>
        <v>3.3547792789693602</v>
      </c>
      <c r="I55" s="18">
        <f t="shared" si="21"/>
        <v>5.3392293407827651</v>
      </c>
      <c r="J55" s="18">
        <f t="shared" si="21"/>
        <v>7.1469675770231476</v>
      </c>
      <c r="K55" s="18">
        <f t="shared" si="21"/>
        <v>8.7962651439177506</v>
      </c>
      <c r="L55" s="18">
        <f t="shared" si="21"/>
        <v>10.303096748498405</v>
      </c>
      <c r="M55" s="18">
        <f t="shared" si="21"/>
        <v>11.681483627666935</v>
      </c>
      <c r="N55" s="18">
        <f t="shared" si="21"/>
        <v>12.943777264787201</v>
      </c>
    </row>
    <row r="56" spans="5:14" x14ac:dyDescent="0.25">
      <c r="E56" s="14"/>
    </row>
  </sheetData>
  <mergeCells count="6">
    <mergeCell ref="C26:D26"/>
    <mergeCell ref="C1:D1"/>
    <mergeCell ref="C2:D2"/>
    <mergeCell ref="C3:D3"/>
    <mergeCell ref="C24:D24"/>
    <mergeCell ref="C25:D2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5267-4E81-495B-B2D8-C852CB88C7F4}">
  <dimension ref="A1:J190"/>
  <sheetViews>
    <sheetView workbookViewId="0">
      <selection activeCell="G3" sqref="G3"/>
    </sheetView>
  </sheetViews>
  <sheetFormatPr defaultRowHeight="15" x14ac:dyDescent="0.25"/>
  <cols>
    <col min="7" max="7" width="15.140625" customWidth="1"/>
  </cols>
  <sheetData>
    <row r="1" spans="1:6" x14ac:dyDescent="0.25">
      <c r="A1" s="15" t="s">
        <v>225</v>
      </c>
    </row>
    <row r="3" spans="1:6" x14ac:dyDescent="0.25">
      <c r="A3" t="s">
        <v>0</v>
      </c>
    </row>
    <row r="4" spans="1:6" x14ac:dyDescent="0.25">
      <c r="A4" t="s">
        <v>1</v>
      </c>
    </row>
    <row r="5" spans="1:6" x14ac:dyDescent="0.25">
      <c r="A5" t="s">
        <v>2</v>
      </c>
      <c r="B5" t="s">
        <v>3</v>
      </c>
      <c r="C5" t="s">
        <v>4</v>
      </c>
      <c r="D5" t="s">
        <v>5</v>
      </c>
    </row>
    <row r="6" spans="1:6" x14ac:dyDescent="0.25">
      <c r="A6" t="s">
        <v>6</v>
      </c>
      <c r="B6">
        <v>14.4</v>
      </c>
      <c r="C6">
        <v>0.36</v>
      </c>
      <c r="D6">
        <v>0.36</v>
      </c>
    </row>
    <row r="7" spans="1:6" x14ac:dyDescent="0.25">
      <c r="A7" t="s">
        <v>7</v>
      </c>
      <c r="B7">
        <v>2.88</v>
      </c>
      <c r="C7">
        <v>7.1999999999999995E-2</v>
      </c>
      <c r="D7">
        <v>7.1999999999999995E-2</v>
      </c>
    </row>
    <row r="8" spans="1:6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</row>
    <row r="9" spans="1:6" x14ac:dyDescent="0.25">
      <c r="A9" t="s">
        <v>14</v>
      </c>
      <c r="B9">
        <v>0</v>
      </c>
      <c r="C9">
        <v>1</v>
      </c>
      <c r="D9">
        <v>1</v>
      </c>
      <c r="E9">
        <v>70</v>
      </c>
      <c r="F9">
        <v>30</v>
      </c>
    </row>
    <row r="10" spans="1:6" x14ac:dyDescent="0.25">
      <c r="A10" t="s">
        <v>15</v>
      </c>
    </row>
    <row r="11" spans="1:6" x14ac:dyDescent="0.25">
      <c r="A11" t="s">
        <v>16</v>
      </c>
      <c r="B11" t="s">
        <v>3</v>
      </c>
      <c r="C11" t="s">
        <v>4</v>
      </c>
      <c r="D11" t="s">
        <v>5</v>
      </c>
    </row>
    <row r="12" spans="1:6" x14ac:dyDescent="0.25">
      <c r="A12" t="s">
        <v>6</v>
      </c>
      <c r="B12">
        <v>0.5</v>
      </c>
      <c r="C12">
        <v>0.5</v>
      </c>
      <c r="D12">
        <v>0.5</v>
      </c>
    </row>
    <row r="13" spans="1:6" x14ac:dyDescent="0.25">
      <c r="A13" t="s">
        <v>7</v>
      </c>
      <c r="B13">
        <v>0.1</v>
      </c>
      <c r="C13">
        <v>0.1</v>
      </c>
      <c r="D13">
        <v>0.1</v>
      </c>
    </row>
    <row r="14" spans="1:6" x14ac:dyDescent="0.25">
      <c r="A14" t="s">
        <v>8</v>
      </c>
      <c r="B14" t="s">
        <v>9</v>
      </c>
      <c r="C14" t="s">
        <v>10</v>
      </c>
      <c r="D14" t="s">
        <v>11</v>
      </c>
      <c r="E14" t="s">
        <v>17</v>
      </c>
      <c r="F14" t="s">
        <v>18</v>
      </c>
    </row>
    <row r="15" spans="1:6" x14ac:dyDescent="0.25">
      <c r="A15" t="s">
        <v>14</v>
      </c>
      <c r="B15">
        <v>0</v>
      </c>
      <c r="C15">
        <v>1</v>
      </c>
      <c r="D15">
        <v>1</v>
      </c>
      <c r="E15">
        <v>70</v>
      </c>
      <c r="F15">
        <v>30</v>
      </c>
    </row>
    <row r="16" spans="1:6" x14ac:dyDescent="0.25">
      <c r="A16" t="s">
        <v>19</v>
      </c>
    </row>
    <row r="17" spans="1:6" x14ac:dyDescent="0.25">
      <c r="A17" t="s">
        <v>23</v>
      </c>
      <c r="B17" t="s">
        <v>3</v>
      </c>
      <c r="C17" t="s">
        <v>4</v>
      </c>
      <c r="D17" t="s">
        <v>5</v>
      </c>
    </row>
    <row r="18" spans="1:6" x14ac:dyDescent="0.25">
      <c r="A18" t="s">
        <v>6</v>
      </c>
      <c r="B18">
        <v>0.05</v>
      </c>
      <c r="C18">
        <v>0.05</v>
      </c>
      <c r="D18">
        <v>0.05</v>
      </c>
    </row>
    <row r="19" spans="1:6" x14ac:dyDescent="0.25">
      <c r="A19" t="s">
        <v>7</v>
      </c>
      <c r="B19">
        <v>0.01</v>
      </c>
      <c r="C19">
        <v>0.01</v>
      </c>
      <c r="D19">
        <v>0.01</v>
      </c>
    </row>
    <row r="20" spans="1:6" x14ac:dyDescent="0.25">
      <c r="A20" t="s">
        <v>8</v>
      </c>
      <c r="B20" t="s">
        <v>9</v>
      </c>
      <c r="C20" t="s">
        <v>10</v>
      </c>
      <c r="D20" t="s">
        <v>11</v>
      </c>
      <c r="E20" t="s">
        <v>27</v>
      </c>
      <c r="F20" t="s">
        <v>28</v>
      </c>
    </row>
    <row r="21" spans="1:6" x14ac:dyDescent="0.25">
      <c r="A21" t="s">
        <v>14</v>
      </c>
      <c r="B21">
        <v>1</v>
      </c>
      <c r="C21">
        <v>-0.75</v>
      </c>
      <c r="D21">
        <v>1</v>
      </c>
      <c r="E21">
        <v>120</v>
      </c>
      <c r="F21">
        <v>30</v>
      </c>
    </row>
    <row r="22" spans="1:6" x14ac:dyDescent="0.25">
      <c r="A22" t="s">
        <v>30</v>
      </c>
    </row>
    <row r="23" spans="1:6" x14ac:dyDescent="0.25">
      <c r="A23" t="s">
        <v>31</v>
      </c>
      <c r="B23" t="s">
        <v>32</v>
      </c>
    </row>
    <row r="24" spans="1:6" x14ac:dyDescent="0.25">
      <c r="A24" t="s">
        <v>33</v>
      </c>
      <c r="B24">
        <v>5</v>
      </c>
    </row>
    <row r="25" spans="1:6" x14ac:dyDescent="0.25">
      <c r="A25" t="s">
        <v>34</v>
      </c>
    </row>
    <row r="26" spans="1:6" x14ac:dyDescent="0.25">
      <c r="A26" t="s">
        <v>35</v>
      </c>
      <c r="B26">
        <v>10</v>
      </c>
    </row>
    <row r="27" spans="1:6" x14ac:dyDescent="0.25">
      <c r="A27" t="s">
        <v>20</v>
      </c>
      <c r="B27" t="s">
        <v>21</v>
      </c>
      <c r="C27" t="s">
        <v>22</v>
      </c>
    </row>
    <row r="28" spans="1:6" x14ac:dyDescent="0.25">
      <c r="A28">
        <v>1</v>
      </c>
      <c r="B28" t="s">
        <v>29</v>
      </c>
      <c r="C28">
        <v>1</v>
      </c>
    </row>
    <row r="29" spans="1:6" x14ac:dyDescent="0.25">
      <c r="A29">
        <v>2</v>
      </c>
      <c r="B29" t="s">
        <v>26</v>
      </c>
      <c r="C29">
        <v>2.9</v>
      </c>
    </row>
    <row r="30" spans="1:6" x14ac:dyDescent="0.25">
      <c r="A30">
        <v>3</v>
      </c>
      <c r="B30" t="s">
        <v>25</v>
      </c>
      <c r="C30">
        <v>2.3199999999999998</v>
      </c>
    </row>
    <row r="31" spans="1:6" x14ac:dyDescent="0.25">
      <c r="A31">
        <v>4</v>
      </c>
      <c r="B31" t="s">
        <v>24</v>
      </c>
      <c r="C31">
        <v>1.9</v>
      </c>
    </row>
    <row r="32" spans="1:6" x14ac:dyDescent="0.25">
      <c r="A32">
        <v>5</v>
      </c>
      <c r="B32" t="s">
        <v>36</v>
      </c>
      <c r="C32">
        <v>1</v>
      </c>
    </row>
    <row r="33" spans="1:4" x14ac:dyDescent="0.25">
      <c r="A33">
        <v>6</v>
      </c>
      <c r="B33" t="s">
        <v>37</v>
      </c>
      <c r="C33">
        <v>4</v>
      </c>
    </row>
    <row r="34" spans="1:4" x14ac:dyDescent="0.25">
      <c r="A34">
        <v>7</v>
      </c>
      <c r="B34" t="s">
        <v>38</v>
      </c>
      <c r="C34">
        <v>1</v>
      </c>
    </row>
    <row r="35" spans="1:4" x14ac:dyDescent="0.25">
      <c r="A35">
        <v>8</v>
      </c>
      <c r="B35" t="s">
        <v>39</v>
      </c>
      <c r="C35">
        <v>2</v>
      </c>
    </row>
    <row r="36" spans="1:4" x14ac:dyDescent="0.25">
      <c r="A36">
        <v>9</v>
      </c>
      <c r="B36" t="s">
        <v>40</v>
      </c>
      <c r="C36">
        <v>1</v>
      </c>
    </row>
    <row r="37" spans="1:4" x14ac:dyDescent="0.25">
      <c r="A37">
        <v>10</v>
      </c>
      <c r="B37" t="s">
        <v>41</v>
      </c>
      <c r="C37">
        <v>0.98</v>
      </c>
    </row>
    <row r="38" spans="1:4" x14ac:dyDescent="0.25">
      <c r="A38" t="s">
        <v>42</v>
      </c>
    </row>
    <row r="39" spans="1:4" x14ac:dyDescent="0.25">
      <c r="A39" t="s">
        <v>43</v>
      </c>
      <c r="B39">
        <v>4</v>
      </c>
    </row>
    <row r="40" spans="1:4" x14ac:dyDescent="0.25">
      <c r="A40" t="s">
        <v>44</v>
      </c>
      <c r="B40" t="s">
        <v>21</v>
      </c>
      <c r="C40" t="s">
        <v>45</v>
      </c>
    </row>
    <row r="41" spans="1:4" x14ac:dyDescent="0.25">
      <c r="A41">
        <v>1</v>
      </c>
      <c r="B41" t="s">
        <v>46</v>
      </c>
      <c r="C41">
        <v>1</v>
      </c>
    </row>
    <row r="42" spans="1:4" x14ac:dyDescent="0.25">
      <c r="A42">
        <v>2</v>
      </c>
      <c r="B42" t="s">
        <v>47</v>
      </c>
      <c r="C42">
        <v>1.5</v>
      </c>
    </row>
    <row r="43" spans="1:4" x14ac:dyDescent="0.25">
      <c r="A43">
        <v>3</v>
      </c>
      <c r="B43" t="s">
        <v>48</v>
      </c>
      <c r="C43">
        <v>0.5</v>
      </c>
    </row>
    <row r="44" spans="1:4" x14ac:dyDescent="0.25">
      <c r="A44">
        <v>4</v>
      </c>
      <c r="B44" t="s">
        <v>49</v>
      </c>
      <c r="C44">
        <v>2</v>
      </c>
    </row>
    <row r="45" spans="1:4" x14ac:dyDescent="0.25">
      <c r="A45" t="s">
        <v>50</v>
      </c>
    </row>
    <row r="46" spans="1:4" x14ac:dyDescent="0.25">
      <c r="A46" t="s">
        <v>51</v>
      </c>
      <c r="B46" t="s">
        <v>3</v>
      </c>
      <c r="C46" t="s">
        <v>4</v>
      </c>
      <c r="D46" t="s">
        <v>5</v>
      </c>
    </row>
    <row r="47" spans="1:4" x14ac:dyDescent="0.25">
      <c r="A47" t="s">
        <v>6</v>
      </c>
      <c r="B47">
        <v>1.2E-4</v>
      </c>
      <c r="C47">
        <v>1.2E-4</v>
      </c>
      <c r="D47">
        <v>1.2E-4</v>
      </c>
    </row>
    <row r="48" spans="1:4" x14ac:dyDescent="0.25">
      <c r="A48" t="s">
        <v>7</v>
      </c>
      <c r="B48" s="1">
        <v>3.0000000000000001E-6</v>
      </c>
      <c r="C48" s="1">
        <v>3.0000000000000001E-6</v>
      </c>
      <c r="D48" s="1">
        <v>3.0000000000000001E-6</v>
      </c>
    </row>
    <row r="49" spans="1:6" x14ac:dyDescent="0.25">
      <c r="A49" t="s">
        <v>8</v>
      </c>
      <c r="B49" t="s">
        <v>9</v>
      </c>
      <c r="C49" t="s">
        <v>10</v>
      </c>
      <c r="D49" t="s">
        <v>11</v>
      </c>
      <c r="E49" t="s">
        <v>52</v>
      </c>
      <c r="F49" t="s">
        <v>53</v>
      </c>
    </row>
    <row r="50" spans="1:6" x14ac:dyDescent="0.25">
      <c r="A50" t="s">
        <v>54</v>
      </c>
      <c r="B50">
        <v>0</v>
      </c>
      <c r="C50">
        <v>1</v>
      </c>
      <c r="D50">
        <v>1</v>
      </c>
      <c r="E50">
        <v>50</v>
      </c>
      <c r="F50">
        <v>20</v>
      </c>
    </row>
    <row r="51" spans="1:6" x14ac:dyDescent="0.25">
      <c r="A51" t="s">
        <v>55</v>
      </c>
    </row>
    <row r="52" spans="1:6" x14ac:dyDescent="0.25">
      <c r="A52" t="s">
        <v>56</v>
      </c>
      <c r="B52" t="s">
        <v>57</v>
      </c>
      <c r="C52" t="s">
        <v>58</v>
      </c>
      <c r="D52" t="s">
        <v>59</v>
      </c>
      <c r="E52" t="s">
        <v>60</v>
      </c>
    </row>
    <row r="53" spans="1:6" x14ac:dyDescent="0.25">
      <c r="A53" t="s">
        <v>61</v>
      </c>
      <c r="B53">
        <v>1</v>
      </c>
      <c r="C53">
        <v>1</v>
      </c>
      <c r="D53">
        <v>1</v>
      </c>
      <c r="E53">
        <v>1</v>
      </c>
    </row>
    <row r="54" spans="1:6" x14ac:dyDescent="0.25">
      <c r="A54" t="s">
        <v>62</v>
      </c>
      <c r="B54">
        <v>1</v>
      </c>
      <c r="C54">
        <v>1</v>
      </c>
      <c r="D54">
        <v>1</v>
      </c>
      <c r="E54">
        <v>1</v>
      </c>
    </row>
    <row r="55" spans="1:6" x14ac:dyDescent="0.25">
      <c r="A55" t="s">
        <v>63</v>
      </c>
      <c r="B55">
        <v>1</v>
      </c>
      <c r="C55">
        <v>1</v>
      </c>
      <c r="D55">
        <v>1</v>
      </c>
      <c r="E55">
        <v>1</v>
      </c>
    </row>
    <row r="56" spans="1:6" x14ac:dyDescent="0.25">
      <c r="A56" t="s">
        <v>64</v>
      </c>
      <c r="B56">
        <v>100</v>
      </c>
      <c r="C56">
        <v>1</v>
      </c>
      <c r="D56">
        <v>1</v>
      </c>
      <c r="E56">
        <v>1</v>
      </c>
    </row>
    <row r="57" spans="1:6" x14ac:dyDescent="0.25">
      <c r="A57" t="s">
        <v>65</v>
      </c>
      <c r="B57">
        <v>1</v>
      </c>
      <c r="C57">
        <v>1</v>
      </c>
      <c r="D57">
        <v>1</v>
      </c>
      <c r="E57">
        <v>1</v>
      </c>
    </row>
    <row r="58" spans="1:6" x14ac:dyDescent="0.25">
      <c r="A58" t="s">
        <v>66</v>
      </c>
      <c r="B58">
        <v>1</v>
      </c>
      <c r="C58">
        <v>1</v>
      </c>
      <c r="D58">
        <v>1</v>
      </c>
      <c r="E58">
        <v>1</v>
      </c>
    </row>
    <row r="59" spans="1:6" x14ac:dyDescent="0.25">
      <c r="A59" t="s">
        <v>67</v>
      </c>
      <c r="B59">
        <v>1</v>
      </c>
      <c r="C59">
        <v>1</v>
      </c>
      <c r="D59">
        <v>1</v>
      </c>
      <c r="E59">
        <v>1</v>
      </c>
    </row>
    <row r="60" spans="1:6" x14ac:dyDescent="0.25">
      <c r="A60" t="s">
        <v>68</v>
      </c>
      <c r="B60">
        <v>1</v>
      </c>
      <c r="C60">
        <v>1</v>
      </c>
      <c r="D60">
        <v>1</v>
      </c>
      <c r="E60">
        <v>1</v>
      </c>
    </row>
    <row r="61" spans="1:6" x14ac:dyDescent="0.25">
      <c r="A61" t="s">
        <v>69</v>
      </c>
      <c r="B61">
        <v>1</v>
      </c>
      <c r="C61">
        <v>1</v>
      </c>
      <c r="D61">
        <v>1</v>
      </c>
      <c r="E61">
        <v>1</v>
      </c>
    </row>
    <row r="62" spans="1:6" x14ac:dyDescent="0.25">
      <c r="A62" t="s">
        <v>70</v>
      </c>
      <c r="B62">
        <v>1</v>
      </c>
      <c r="C62">
        <v>1</v>
      </c>
      <c r="D62">
        <v>1</v>
      </c>
      <c r="E62">
        <v>1</v>
      </c>
    </row>
    <row r="63" spans="1:6" x14ac:dyDescent="0.25">
      <c r="A63" t="s">
        <v>71</v>
      </c>
    </row>
    <row r="64" spans="1:6" x14ac:dyDescent="0.25">
      <c r="A64" t="s">
        <v>72</v>
      </c>
      <c r="B64" t="s">
        <v>3</v>
      </c>
      <c r="C64" t="s">
        <v>4</v>
      </c>
      <c r="D64" t="s">
        <v>5</v>
      </c>
    </row>
    <row r="65" spans="1:7" x14ac:dyDescent="0.25">
      <c r="A65" t="s">
        <v>6</v>
      </c>
      <c r="B65" s="1">
        <v>1.0000000000000001E-5</v>
      </c>
      <c r="C65" s="1">
        <v>1.0000000000000001E-5</v>
      </c>
      <c r="D65" s="1">
        <v>1.0000000000000001E-5</v>
      </c>
    </row>
    <row r="66" spans="1:7" x14ac:dyDescent="0.25">
      <c r="A66" t="s">
        <v>7</v>
      </c>
      <c r="B66" s="1">
        <v>9.9999999999999995E-7</v>
      </c>
      <c r="C66" s="1">
        <v>9.9999999999999995E-7</v>
      </c>
      <c r="D66" s="1">
        <v>9.9999999999999995E-7</v>
      </c>
    </row>
    <row r="67" spans="1:7" x14ac:dyDescent="0.25">
      <c r="A67" t="s">
        <v>73</v>
      </c>
      <c r="B67">
        <v>60</v>
      </c>
    </row>
    <row r="68" spans="1:7" x14ac:dyDescent="0.25">
      <c r="A68" t="s">
        <v>74</v>
      </c>
      <c r="B68" t="s">
        <v>57</v>
      </c>
      <c r="C68" t="s">
        <v>58</v>
      </c>
      <c r="D68" t="s">
        <v>59</v>
      </c>
      <c r="E68" t="s">
        <v>60</v>
      </c>
    </row>
    <row r="69" spans="1:7" x14ac:dyDescent="0.25">
      <c r="A69" t="s">
        <v>75</v>
      </c>
      <c r="B69">
        <v>1</v>
      </c>
      <c r="C69">
        <v>0</v>
      </c>
      <c r="D69">
        <v>0</v>
      </c>
      <c r="E69">
        <v>0</v>
      </c>
    </row>
    <row r="70" spans="1:7" x14ac:dyDescent="0.25">
      <c r="A70" t="s">
        <v>76</v>
      </c>
    </row>
    <row r="71" spans="1:7" x14ac:dyDescent="0.25">
      <c r="A71" t="s">
        <v>77</v>
      </c>
      <c r="B71" t="s">
        <v>3</v>
      </c>
      <c r="C71" t="s">
        <v>4</v>
      </c>
      <c r="D71" t="s">
        <v>5</v>
      </c>
    </row>
    <row r="72" spans="1:7" x14ac:dyDescent="0.25">
      <c r="A72" t="s">
        <v>6</v>
      </c>
      <c r="B72">
        <v>1.2E-4</v>
      </c>
      <c r="C72">
        <v>1.2E-4</v>
      </c>
      <c r="D72">
        <v>1.2E-4</v>
      </c>
    </row>
    <row r="73" spans="1:7" x14ac:dyDescent="0.25">
      <c r="A73" t="s">
        <v>7</v>
      </c>
      <c r="B73">
        <v>1.2E-4</v>
      </c>
      <c r="C73">
        <v>1.2E-4</v>
      </c>
      <c r="D73">
        <v>1.2E-4</v>
      </c>
      <c r="G73" s="1"/>
    </row>
    <row r="74" spans="1:7" x14ac:dyDescent="0.25">
      <c r="A74" t="s">
        <v>78</v>
      </c>
      <c r="B74">
        <v>60</v>
      </c>
    </row>
    <row r="75" spans="1:7" x14ac:dyDescent="0.25">
      <c r="A75" t="s">
        <v>79</v>
      </c>
      <c r="B75" t="s">
        <v>57</v>
      </c>
      <c r="C75" t="s">
        <v>58</v>
      </c>
      <c r="D75" t="s">
        <v>59</v>
      </c>
      <c r="E75" t="s">
        <v>60</v>
      </c>
    </row>
    <row r="76" spans="1:7" x14ac:dyDescent="0.25">
      <c r="A76" t="s">
        <v>80</v>
      </c>
      <c r="B76">
        <v>1</v>
      </c>
      <c r="C76">
        <v>0</v>
      </c>
      <c r="D76">
        <v>0</v>
      </c>
      <c r="E76">
        <v>0</v>
      </c>
    </row>
    <row r="77" spans="1:7" x14ac:dyDescent="0.25">
      <c r="A77" t="s">
        <v>81</v>
      </c>
    </row>
    <row r="78" spans="1:7" x14ac:dyDescent="0.25">
      <c r="A78" t="s">
        <v>56</v>
      </c>
      <c r="B78" t="s">
        <v>82</v>
      </c>
      <c r="C78" t="s">
        <v>83</v>
      </c>
    </row>
    <row r="79" spans="1:7" x14ac:dyDescent="0.25">
      <c r="A79" t="s">
        <v>84</v>
      </c>
      <c r="B79">
        <v>0</v>
      </c>
      <c r="C79">
        <v>0</v>
      </c>
    </row>
    <row r="80" spans="1:7" x14ac:dyDescent="0.25">
      <c r="A80" t="s">
        <v>85</v>
      </c>
      <c r="B80">
        <v>0</v>
      </c>
      <c r="C80">
        <v>0</v>
      </c>
    </row>
    <row r="81" spans="1:3" x14ac:dyDescent="0.25">
      <c r="A81" t="s">
        <v>86</v>
      </c>
      <c r="B81">
        <v>0</v>
      </c>
      <c r="C81">
        <v>0</v>
      </c>
    </row>
    <row r="82" spans="1:3" x14ac:dyDescent="0.25">
      <c r="A82" t="s">
        <v>87</v>
      </c>
      <c r="B82">
        <v>1</v>
      </c>
      <c r="C82">
        <v>1</v>
      </c>
    </row>
    <row r="83" spans="1:3" x14ac:dyDescent="0.25">
      <c r="A83" t="s">
        <v>88</v>
      </c>
      <c r="B83">
        <v>0</v>
      </c>
      <c r="C83">
        <v>0</v>
      </c>
    </row>
    <row r="84" spans="1:3" x14ac:dyDescent="0.25">
      <c r="A84" t="s">
        <v>89</v>
      </c>
      <c r="B84">
        <v>0</v>
      </c>
      <c r="C84">
        <v>0</v>
      </c>
    </row>
    <row r="85" spans="1:3" x14ac:dyDescent="0.25">
      <c r="A85" t="s">
        <v>90</v>
      </c>
      <c r="B85">
        <v>0</v>
      </c>
      <c r="C85">
        <v>0</v>
      </c>
    </row>
    <row r="86" spans="1:3" x14ac:dyDescent="0.25">
      <c r="A86" t="s">
        <v>91</v>
      </c>
      <c r="B86">
        <v>0</v>
      </c>
      <c r="C86">
        <v>0</v>
      </c>
    </row>
    <row r="87" spans="1:3" x14ac:dyDescent="0.25">
      <c r="A87" t="s">
        <v>92</v>
      </c>
      <c r="B87">
        <v>0</v>
      </c>
      <c r="C87">
        <v>0</v>
      </c>
    </row>
    <row r="88" spans="1:3" x14ac:dyDescent="0.25">
      <c r="A88" t="s">
        <v>93</v>
      </c>
    </row>
    <row r="89" spans="1:3" x14ac:dyDescent="0.25">
      <c r="A89" t="s">
        <v>94</v>
      </c>
      <c r="B89" t="s">
        <v>32</v>
      </c>
    </row>
    <row r="90" spans="1:3" x14ac:dyDescent="0.25">
      <c r="A90" t="s">
        <v>95</v>
      </c>
      <c r="B90">
        <v>0.75</v>
      </c>
    </row>
    <row r="91" spans="1:3" x14ac:dyDescent="0.25">
      <c r="A91" t="s">
        <v>96</v>
      </c>
      <c r="B91">
        <v>0.75</v>
      </c>
    </row>
    <row r="92" spans="1:3" x14ac:dyDescent="0.25">
      <c r="A92" t="s">
        <v>97</v>
      </c>
      <c r="B92">
        <v>0.75</v>
      </c>
    </row>
    <row r="93" spans="1:3" x14ac:dyDescent="0.25">
      <c r="A93" t="s">
        <v>98</v>
      </c>
      <c r="B93">
        <v>0</v>
      </c>
    </row>
    <row r="94" spans="1:3" x14ac:dyDescent="0.25">
      <c r="A94" t="s">
        <v>99</v>
      </c>
      <c r="B94">
        <v>0</v>
      </c>
    </row>
    <row r="95" spans="1:3" x14ac:dyDescent="0.25">
      <c r="A95" t="s">
        <v>100</v>
      </c>
      <c r="B95">
        <v>0.98</v>
      </c>
    </row>
    <row r="96" spans="1:3" x14ac:dyDescent="0.25">
      <c r="A96" t="s">
        <v>101</v>
      </c>
    </row>
    <row r="97" spans="1:5" x14ac:dyDescent="0.25">
      <c r="A97" t="s">
        <v>56</v>
      </c>
      <c r="B97" t="s">
        <v>102</v>
      </c>
      <c r="C97" t="s">
        <v>103</v>
      </c>
      <c r="D97" t="s">
        <v>104</v>
      </c>
      <c r="E97" t="s">
        <v>60</v>
      </c>
    </row>
    <row r="98" spans="1:5" x14ac:dyDescent="0.25">
      <c r="A98" t="s">
        <v>105</v>
      </c>
      <c r="B98">
        <v>1</v>
      </c>
      <c r="C98">
        <v>1</v>
      </c>
      <c r="D98">
        <v>0.28000000000000003</v>
      </c>
      <c r="E98">
        <v>2.24E-2</v>
      </c>
    </row>
    <row r="99" spans="1:5" x14ac:dyDescent="0.25">
      <c r="A99" t="s">
        <v>106</v>
      </c>
      <c r="B99">
        <v>1</v>
      </c>
      <c r="C99">
        <v>1</v>
      </c>
      <c r="D99">
        <v>0.1</v>
      </c>
      <c r="E99">
        <v>0.01</v>
      </c>
    </row>
    <row r="100" spans="1:5" x14ac:dyDescent="0.25">
      <c r="A100" t="s">
        <v>107</v>
      </c>
      <c r="B100">
        <v>1</v>
      </c>
      <c r="C100">
        <v>1</v>
      </c>
      <c r="D100">
        <v>0.8</v>
      </c>
      <c r="E100">
        <v>0.5</v>
      </c>
    </row>
    <row r="101" spans="1:5" x14ac:dyDescent="0.25">
      <c r="A101" t="s">
        <v>108</v>
      </c>
      <c r="B101">
        <v>1</v>
      </c>
      <c r="C101">
        <v>2.5000000000000001E-2</v>
      </c>
      <c r="D101">
        <v>4.0000000000000001E-3</v>
      </c>
      <c r="E101">
        <v>1E-3</v>
      </c>
    </row>
    <row r="102" spans="1:5" x14ac:dyDescent="0.25">
      <c r="A102" t="s">
        <v>109</v>
      </c>
      <c r="B102">
        <v>1</v>
      </c>
      <c r="C102">
        <v>1</v>
      </c>
      <c r="D102">
        <v>0.2</v>
      </c>
      <c r="E102">
        <v>0.04</v>
      </c>
    </row>
    <row r="103" spans="1:5" x14ac:dyDescent="0.25">
      <c r="A103" t="s">
        <v>110</v>
      </c>
      <c r="B103">
        <v>1</v>
      </c>
      <c r="C103">
        <v>1</v>
      </c>
      <c r="D103">
        <v>0.28000000000000003</v>
      </c>
      <c r="E103">
        <v>2.24E-2</v>
      </c>
    </row>
    <row r="104" spans="1:5" x14ac:dyDescent="0.25">
      <c r="A104" t="s">
        <v>111</v>
      </c>
      <c r="B104">
        <v>1</v>
      </c>
      <c r="C104">
        <v>1</v>
      </c>
      <c r="D104">
        <v>1</v>
      </c>
      <c r="E104">
        <v>1</v>
      </c>
    </row>
    <row r="105" spans="1:5" x14ac:dyDescent="0.25">
      <c r="A105" t="s">
        <v>112</v>
      </c>
      <c r="B105">
        <v>1</v>
      </c>
      <c r="C105">
        <v>1</v>
      </c>
      <c r="D105">
        <v>0.28000000000000003</v>
      </c>
      <c r="E105">
        <v>2.24E-2</v>
      </c>
    </row>
    <row r="106" spans="1:5" x14ac:dyDescent="0.25">
      <c r="A106" t="s">
        <v>113</v>
      </c>
      <c r="B106">
        <v>1</v>
      </c>
      <c r="C106">
        <v>1</v>
      </c>
      <c r="D106">
        <v>0.28000000000000003</v>
      </c>
      <c r="E106">
        <v>2.24E-2</v>
      </c>
    </row>
    <row r="107" spans="1:5" x14ac:dyDescent="0.25">
      <c r="A107" t="s">
        <v>114</v>
      </c>
      <c r="B107">
        <v>1</v>
      </c>
      <c r="C107">
        <v>0.1</v>
      </c>
      <c r="D107">
        <v>0.02</v>
      </c>
      <c r="E107">
        <v>3.0000000000000001E-3</v>
      </c>
    </row>
    <row r="108" spans="1:5" x14ac:dyDescent="0.25">
      <c r="A108" t="s">
        <v>115</v>
      </c>
      <c r="B108">
        <v>1</v>
      </c>
      <c r="C108">
        <v>1</v>
      </c>
      <c r="D108">
        <v>0.28000000000000003</v>
      </c>
      <c r="E108">
        <v>2.24E-2</v>
      </c>
    </row>
    <row r="109" spans="1:5" x14ac:dyDescent="0.25">
      <c r="A109" t="s">
        <v>116</v>
      </c>
      <c r="B109">
        <v>50</v>
      </c>
    </row>
    <row r="110" spans="1:5" x14ac:dyDescent="0.25">
      <c r="A110" t="s">
        <v>117</v>
      </c>
      <c r="B110">
        <v>0</v>
      </c>
    </row>
    <row r="111" spans="1:5" x14ac:dyDescent="0.25">
      <c r="A111" t="s">
        <v>118</v>
      </c>
    </row>
    <row r="112" spans="1:5" x14ac:dyDescent="0.25">
      <c r="A112" t="s">
        <v>31</v>
      </c>
      <c r="B112" t="s">
        <v>32</v>
      </c>
    </row>
    <row r="113" spans="1:5" x14ac:dyDescent="0.25">
      <c r="A113" t="s">
        <v>119</v>
      </c>
      <c r="B113">
        <v>12</v>
      </c>
    </row>
    <row r="114" spans="1:5" x14ac:dyDescent="0.25">
      <c r="A114" t="s">
        <v>120</v>
      </c>
      <c r="B114">
        <v>5</v>
      </c>
    </row>
    <row r="115" spans="1:5" x14ac:dyDescent="0.25">
      <c r="A115" t="s">
        <v>121</v>
      </c>
    </row>
    <row r="116" spans="1:5" x14ac:dyDescent="0.25">
      <c r="A116" t="s">
        <v>122</v>
      </c>
      <c r="B116" t="s">
        <v>57</v>
      </c>
      <c r="C116" t="s">
        <v>58</v>
      </c>
      <c r="D116" t="s">
        <v>59</v>
      </c>
      <c r="E116" t="s">
        <v>60</v>
      </c>
    </row>
    <row r="117" spans="1:5" x14ac:dyDescent="0.25">
      <c r="A117" t="s">
        <v>123</v>
      </c>
      <c r="B117">
        <v>0.5</v>
      </c>
      <c r="C117">
        <v>0.01</v>
      </c>
      <c r="D117">
        <v>0.01</v>
      </c>
      <c r="E117">
        <v>0.01</v>
      </c>
    </row>
    <row r="118" spans="1:5" x14ac:dyDescent="0.25">
      <c r="A118" t="s">
        <v>124</v>
      </c>
      <c r="B118">
        <v>0.5</v>
      </c>
      <c r="C118">
        <v>1E-3</v>
      </c>
      <c r="D118">
        <v>1E-3</v>
      </c>
      <c r="E118">
        <v>1E-3</v>
      </c>
    </row>
    <row r="119" spans="1:5" x14ac:dyDescent="0.25">
      <c r="A119" t="s">
        <v>125</v>
      </c>
      <c r="B119">
        <v>0.05</v>
      </c>
      <c r="C119">
        <v>5.0000000000000001E-3</v>
      </c>
      <c r="D119">
        <v>5.0000000000000001E-3</v>
      </c>
      <c r="E119">
        <v>5.0000000000000001E-3</v>
      </c>
    </row>
    <row r="120" spans="1:5" x14ac:dyDescent="0.25">
      <c r="A120" t="s">
        <v>126</v>
      </c>
      <c r="B120">
        <v>0.1</v>
      </c>
      <c r="C120">
        <v>0.1</v>
      </c>
      <c r="D120">
        <v>0.1</v>
      </c>
      <c r="E120">
        <v>0.1</v>
      </c>
    </row>
    <row r="121" spans="1:5" x14ac:dyDescent="0.25">
      <c r="A121" t="s">
        <v>127</v>
      </c>
      <c r="B121" t="s">
        <v>128</v>
      </c>
      <c r="C121" t="s">
        <v>129</v>
      </c>
    </row>
    <row r="122" spans="1:5" x14ac:dyDescent="0.25">
      <c r="A122" t="s">
        <v>123</v>
      </c>
      <c r="B122">
        <v>0.3</v>
      </c>
      <c r="C122">
        <v>0.3</v>
      </c>
    </row>
    <row r="123" spans="1:5" x14ac:dyDescent="0.25">
      <c r="A123" t="s">
        <v>124</v>
      </c>
      <c r="B123">
        <v>0.2</v>
      </c>
      <c r="C123">
        <v>0.2</v>
      </c>
    </row>
    <row r="124" spans="1:5" x14ac:dyDescent="0.25">
      <c r="A124" t="s">
        <v>125</v>
      </c>
      <c r="B124">
        <v>1</v>
      </c>
      <c r="C124">
        <v>1</v>
      </c>
    </row>
    <row r="125" spans="1:5" x14ac:dyDescent="0.25">
      <c r="A125" t="s">
        <v>126</v>
      </c>
      <c r="B125">
        <v>1</v>
      </c>
      <c r="C125">
        <v>1</v>
      </c>
    </row>
    <row r="126" spans="1:5" x14ac:dyDescent="0.25">
      <c r="A126" t="s">
        <v>130</v>
      </c>
    </row>
    <row r="127" spans="1:5" x14ac:dyDescent="0.25">
      <c r="B127" t="s">
        <v>58</v>
      </c>
      <c r="C127" t="s">
        <v>59</v>
      </c>
      <c r="D127" t="s">
        <v>60</v>
      </c>
    </row>
    <row r="128" spans="1:5" x14ac:dyDescent="0.25">
      <c r="A128" t="s">
        <v>131</v>
      </c>
      <c r="B128">
        <v>3.0000000000000001E-3</v>
      </c>
      <c r="C128">
        <v>1E-3</v>
      </c>
      <c r="D128">
        <v>5.0000000000000001E-4</v>
      </c>
    </row>
    <row r="129" spans="1:10" x14ac:dyDescent="0.25">
      <c r="A129" t="s">
        <v>132</v>
      </c>
    </row>
    <row r="130" spans="1:10" x14ac:dyDescent="0.25">
      <c r="A130" t="s">
        <v>31</v>
      </c>
      <c r="B130" t="s">
        <v>32</v>
      </c>
    </row>
    <row r="131" spans="1:10" x14ac:dyDescent="0.25">
      <c r="A131" t="s">
        <v>133</v>
      </c>
      <c r="B131">
        <v>5</v>
      </c>
    </row>
    <row r="132" spans="1:10" x14ac:dyDescent="0.25">
      <c r="A132" t="s">
        <v>134</v>
      </c>
      <c r="B132">
        <v>50</v>
      </c>
    </row>
    <row r="134" spans="1:10" x14ac:dyDescent="0.25">
      <c r="A134" t="s">
        <v>135</v>
      </c>
    </row>
    <row r="135" spans="1:10" x14ac:dyDescent="0.25">
      <c r="A135" t="s">
        <v>136</v>
      </c>
    </row>
    <row r="136" spans="1:10" x14ac:dyDescent="0.25">
      <c r="A136" t="s">
        <v>31</v>
      </c>
      <c r="B136" t="s">
        <v>137</v>
      </c>
      <c r="C136" t="s">
        <v>138</v>
      </c>
      <c r="D136" t="s">
        <v>139</v>
      </c>
    </row>
    <row r="137" spans="1:10" x14ac:dyDescent="0.25">
      <c r="A137" t="s">
        <v>140</v>
      </c>
      <c r="B137">
        <v>1.2012E-4</v>
      </c>
      <c r="C137">
        <v>1.2012E-4</v>
      </c>
      <c r="D137" s="1">
        <v>1.2012E-5</v>
      </c>
    </row>
    <row r="138" spans="1:10" x14ac:dyDescent="0.25">
      <c r="A138" t="s">
        <v>141</v>
      </c>
      <c r="B138" s="1">
        <v>2.0020000000000001E-5</v>
      </c>
      <c r="C138" s="1">
        <v>2.0020000000000001E-5</v>
      </c>
      <c r="D138" s="1">
        <v>2.0020000000000001E-6</v>
      </c>
      <c r="I138" s="1"/>
      <c r="J138" s="1"/>
    </row>
    <row r="139" spans="1:10" x14ac:dyDescent="0.25">
      <c r="A139" t="s">
        <v>142</v>
      </c>
      <c r="B139">
        <v>80</v>
      </c>
      <c r="C139">
        <v>80</v>
      </c>
      <c r="D139">
        <v>80</v>
      </c>
    </row>
    <row r="140" spans="1:10" x14ac:dyDescent="0.25">
      <c r="A140" t="s">
        <v>143</v>
      </c>
      <c r="B140">
        <v>0.05</v>
      </c>
      <c r="C140">
        <v>0.05</v>
      </c>
      <c r="D140">
        <v>0.05</v>
      </c>
    </row>
    <row r="141" spans="1:10" x14ac:dyDescent="0.25">
      <c r="A141" t="s">
        <v>144</v>
      </c>
      <c r="B141">
        <v>3</v>
      </c>
      <c r="C141">
        <v>3</v>
      </c>
      <c r="D141">
        <v>3</v>
      </c>
    </row>
    <row r="142" spans="1:10" x14ac:dyDescent="0.25">
      <c r="A142" t="s">
        <v>145</v>
      </c>
      <c r="B142">
        <v>10</v>
      </c>
      <c r="C142">
        <v>10</v>
      </c>
      <c r="D142">
        <v>10</v>
      </c>
    </row>
    <row r="143" spans="1:10" x14ac:dyDescent="0.25">
      <c r="A143" t="s">
        <v>146</v>
      </c>
    </row>
    <row r="144" spans="1:10" x14ac:dyDescent="0.25">
      <c r="A144" t="s">
        <v>31</v>
      </c>
      <c r="B144" t="s">
        <v>147</v>
      </c>
      <c r="C144" t="s">
        <v>148</v>
      </c>
    </row>
    <row r="145" spans="1:4" x14ac:dyDescent="0.25">
      <c r="A145" t="s">
        <v>149</v>
      </c>
      <c r="B145">
        <v>0.6</v>
      </c>
      <c r="C145">
        <v>0.2</v>
      </c>
    </row>
    <row r="146" spans="1:4" x14ac:dyDescent="0.25">
      <c r="A146" t="s">
        <v>150</v>
      </c>
      <c r="B146">
        <v>2</v>
      </c>
    </row>
    <row r="147" spans="1:4" x14ac:dyDescent="0.25">
      <c r="A147" t="s">
        <v>151</v>
      </c>
      <c r="B147">
        <v>12</v>
      </c>
    </row>
    <row r="148" spans="1:4" x14ac:dyDescent="0.25">
      <c r="A148" t="s">
        <v>152</v>
      </c>
    </row>
    <row r="149" spans="1:4" x14ac:dyDescent="0.25">
      <c r="A149" t="s">
        <v>31</v>
      </c>
      <c r="B149" t="s">
        <v>137</v>
      </c>
      <c r="C149" t="s">
        <v>138</v>
      </c>
      <c r="D149" t="s">
        <v>139</v>
      </c>
    </row>
    <row r="150" spans="1:4" x14ac:dyDescent="0.25">
      <c r="A150" t="s">
        <v>153</v>
      </c>
      <c r="B150">
        <v>0.5</v>
      </c>
      <c r="C150">
        <v>0.8</v>
      </c>
      <c r="D150">
        <v>0.3</v>
      </c>
    </row>
    <row r="151" spans="1:4" x14ac:dyDescent="0.25">
      <c r="A151" t="s">
        <v>154</v>
      </c>
      <c r="B151">
        <v>100</v>
      </c>
      <c r="C151">
        <v>3</v>
      </c>
      <c r="D151">
        <v>3</v>
      </c>
    </row>
    <row r="152" spans="1:4" x14ac:dyDescent="0.25">
      <c r="A152" t="s">
        <v>155</v>
      </c>
    </row>
    <row r="153" spans="1:4" x14ac:dyDescent="0.25">
      <c r="A153" t="s">
        <v>31</v>
      </c>
      <c r="B153" t="s">
        <v>32</v>
      </c>
    </row>
    <row r="154" spans="1:4" x14ac:dyDescent="0.25">
      <c r="A154" t="s">
        <v>156</v>
      </c>
      <c r="B154">
        <v>0.02</v>
      </c>
    </row>
    <row r="155" spans="1:4" x14ac:dyDescent="0.25">
      <c r="A155" t="s">
        <v>157</v>
      </c>
      <c r="B155">
        <v>10</v>
      </c>
    </row>
    <row r="156" spans="1:4" x14ac:dyDescent="0.25">
      <c r="A156" t="s">
        <v>158</v>
      </c>
      <c r="B156">
        <v>0.4</v>
      </c>
    </row>
    <row r="157" spans="1:4" x14ac:dyDescent="0.25">
      <c r="A157" t="s">
        <v>159</v>
      </c>
      <c r="B157">
        <v>0</v>
      </c>
    </row>
    <row r="158" spans="1:4" x14ac:dyDescent="0.25">
      <c r="A158" t="s">
        <v>160</v>
      </c>
      <c r="B158">
        <v>48</v>
      </c>
    </row>
    <row r="159" spans="1:4" x14ac:dyDescent="0.25">
      <c r="A159" t="s">
        <v>161</v>
      </c>
      <c r="B159" t="s">
        <v>162</v>
      </c>
      <c r="C159" t="s">
        <v>163</v>
      </c>
      <c r="D159" t="s">
        <v>164</v>
      </c>
    </row>
    <row r="160" spans="1:4" x14ac:dyDescent="0.25">
      <c r="A160" t="s">
        <v>161</v>
      </c>
      <c r="B160">
        <v>2400</v>
      </c>
      <c r="C160">
        <v>800</v>
      </c>
      <c r="D160">
        <v>2</v>
      </c>
    </row>
    <row r="161" spans="1:4" x14ac:dyDescent="0.25">
      <c r="A161" t="s">
        <v>165</v>
      </c>
      <c r="B161" t="s">
        <v>6</v>
      </c>
      <c r="C161" t="s">
        <v>7</v>
      </c>
    </row>
    <row r="162" spans="1:4" x14ac:dyDescent="0.25">
      <c r="A162" t="s">
        <v>166</v>
      </c>
      <c r="B162">
        <v>0.01</v>
      </c>
      <c r="C162">
        <v>1E-3</v>
      </c>
    </row>
    <row r="163" spans="1:4" x14ac:dyDescent="0.25">
      <c r="A163" t="s">
        <v>167</v>
      </c>
      <c r="B163">
        <v>150</v>
      </c>
      <c r="C163">
        <v>50</v>
      </c>
    </row>
    <row r="164" spans="1:4" x14ac:dyDescent="0.25">
      <c r="A164" t="s">
        <v>168</v>
      </c>
    </row>
    <row r="165" spans="1:4" x14ac:dyDescent="0.25">
      <c r="A165" t="s">
        <v>31</v>
      </c>
      <c r="B165" t="s">
        <v>169</v>
      </c>
      <c r="C165" t="s">
        <v>170</v>
      </c>
      <c r="D165" t="s">
        <v>171</v>
      </c>
    </row>
    <row r="166" spans="1:4" x14ac:dyDescent="0.25">
      <c r="A166" t="s">
        <v>172</v>
      </c>
      <c r="B166">
        <v>0.06</v>
      </c>
      <c r="C166">
        <v>0.5</v>
      </c>
      <c r="D166">
        <v>250</v>
      </c>
    </row>
    <row r="167" spans="1:4" x14ac:dyDescent="0.25">
      <c r="A167" t="s">
        <v>173</v>
      </c>
      <c r="B167">
        <v>0.02</v>
      </c>
      <c r="C167">
        <v>0.3</v>
      </c>
      <c r="D167">
        <v>50</v>
      </c>
    </row>
    <row r="168" spans="1:4" x14ac:dyDescent="0.25">
      <c r="A168" t="s">
        <v>174</v>
      </c>
    </row>
    <row r="169" spans="1:4" x14ac:dyDescent="0.25">
      <c r="A169" t="s">
        <v>175</v>
      </c>
      <c r="B169">
        <v>0.4</v>
      </c>
      <c r="C169">
        <v>0.4</v>
      </c>
    </row>
    <row r="170" spans="1:4" x14ac:dyDescent="0.25">
      <c r="A170" t="s">
        <v>176</v>
      </c>
    </row>
    <row r="171" spans="1:4" x14ac:dyDescent="0.25">
      <c r="A171" t="s">
        <v>177</v>
      </c>
    </row>
    <row r="172" spans="1:4" x14ac:dyDescent="0.25">
      <c r="A172" t="s">
        <v>178</v>
      </c>
      <c r="B172" t="s">
        <v>179</v>
      </c>
      <c r="C172" t="s">
        <v>180</v>
      </c>
    </row>
    <row r="173" spans="1:4" x14ac:dyDescent="0.25">
      <c r="A173" t="s">
        <v>149</v>
      </c>
      <c r="B173">
        <v>1</v>
      </c>
      <c r="C173">
        <v>1</v>
      </c>
    </row>
    <row r="174" spans="1:4" x14ac:dyDescent="0.25">
      <c r="A174" t="s">
        <v>51</v>
      </c>
      <c r="B174">
        <v>1</v>
      </c>
    </row>
    <row r="175" spans="1:4" x14ac:dyDescent="0.25">
      <c r="A175" t="s">
        <v>181</v>
      </c>
      <c r="B175">
        <v>1</v>
      </c>
    </row>
    <row r="176" spans="1:4" x14ac:dyDescent="0.25">
      <c r="A176" t="s">
        <v>182</v>
      </c>
      <c r="B176">
        <v>1</v>
      </c>
    </row>
    <row r="177" spans="1:5" x14ac:dyDescent="0.25">
      <c r="A177" t="s">
        <v>183</v>
      </c>
      <c r="B177">
        <v>1</v>
      </c>
    </row>
    <row r="178" spans="1:5" x14ac:dyDescent="0.25">
      <c r="A178" t="s">
        <v>184</v>
      </c>
    </row>
    <row r="179" spans="1:5" x14ac:dyDescent="0.25">
      <c r="A179" t="s">
        <v>185</v>
      </c>
      <c r="B179" t="s">
        <v>186</v>
      </c>
      <c r="C179" t="s">
        <v>187</v>
      </c>
      <c r="D179" t="s">
        <v>188</v>
      </c>
      <c r="E179" t="s">
        <v>189</v>
      </c>
    </row>
    <row r="180" spans="1:5" x14ac:dyDescent="0.25">
      <c r="A180" t="s">
        <v>190</v>
      </c>
      <c r="B180">
        <v>1</v>
      </c>
      <c r="C180">
        <v>1</v>
      </c>
      <c r="D180">
        <v>1</v>
      </c>
      <c r="E180">
        <v>0.01</v>
      </c>
    </row>
    <row r="181" spans="1:5" x14ac:dyDescent="0.25">
      <c r="A181" t="s">
        <v>191</v>
      </c>
      <c r="B181">
        <v>0</v>
      </c>
      <c r="C181">
        <v>0.9</v>
      </c>
      <c r="D181">
        <v>0.9</v>
      </c>
      <c r="E181">
        <v>0.01</v>
      </c>
    </row>
    <row r="182" spans="1:5" x14ac:dyDescent="0.25">
      <c r="A182" t="s">
        <v>192</v>
      </c>
      <c r="B182">
        <v>0</v>
      </c>
      <c r="C182">
        <v>0.1</v>
      </c>
      <c r="D182">
        <v>0.08</v>
      </c>
      <c r="E182">
        <v>0.01</v>
      </c>
    </row>
    <row r="183" spans="1:5" x14ac:dyDescent="0.25">
      <c r="A183" t="s">
        <v>193</v>
      </c>
      <c r="B183">
        <v>0</v>
      </c>
      <c r="C183">
        <v>0</v>
      </c>
      <c r="D183">
        <v>0.01</v>
      </c>
      <c r="E183">
        <v>0.01</v>
      </c>
    </row>
    <row r="184" spans="1:5" x14ac:dyDescent="0.25">
      <c r="A184" t="s">
        <v>194</v>
      </c>
      <c r="B184">
        <v>0</v>
      </c>
      <c r="C184">
        <v>0</v>
      </c>
      <c r="D184">
        <v>0.01</v>
      </c>
      <c r="E184">
        <v>0.01</v>
      </c>
    </row>
    <row r="185" spans="1:5" x14ac:dyDescent="0.25">
      <c r="A185" t="s">
        <v>185</v>
      </c>
      <c r="B185" t="s">
        <v>195</v>
      </c>
      <c r="C185" t="s">
        <v>196</v>
      </c>
      <c r="D185" t="s">
        <v>197</v>
      </c>
      <c r="E185" t="s">
        <v>197</v>
      </c>
    </row>
    <row r="186" spans="1:5" x14ac:dyDescent="0.25">
      <c r="A186" t="s">
        <v>190</v>
      </c>
      <c r="B186">
        <v>1</v>
      </c>
      <c r="C186">
        <v>1</v>
      </c>
      <c r="D186">
        <v>0</v>
      </c>
      <c r="E186">
        <v>0</v>
      </c>
    </row>
    <row r="187" spans="1:5" x14ac:dyDescent="0.25">
      <c r="A187" t="s">
        <v>191</v>
      </c>
      <c r="B187">
        <v>1</v>
      </c>
      <c r="C187">
        <v>1</v>
      </c>
      <c r="D187">
        <v>0</v>
      </c>
      <c r="E187">
        <v>0</v>
      </c>
    </row>
    <row r="188" spans="1:5" x14ac:dyDescent="0.25">
      <c r="A188" t="s">
        <v>192</v>
      </c>
      <c r="B188">
        <v>100</v>
      </c>
      <c r="C188">
        <v>100</v>
      </c>
      <c r="D188">
        <v>0</v>
      </c>
      <c r="E188">
        <v>0</v>
      </c>
    </row>
    <row r="189" spans="1:5" x14ac:dyDescent="0.25">
      <c r="A189" t="s">
        <v>193</v>
      </c>
      <c r="B189">
        <v>0.1</v>
      </c>
      <c r="C189">
        <v>1</v>
      </c>
      <c r="D189">
        <v>0</v>
      </c>
      <c r="E189">
        <v>0</v>
      </c>
    </row>
    <row r="190" spans="1:5" x14ac:dyDescent="0.25">
      <c r="A190" t="s">
        <v>194</v>
      </c>
      <c r="B190">
        <v>0.1</v>
      </c>
      <c r="C190">
        <v>1</v>
      </c>
      <c r="D190">
        <v>0</v>
      </c>
      <c r="E190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D0BA-3A58-4DD5-83F4-4406C0E63AC8}">
  <dimension ref="A1:J190"/>
  <sheetViews>
    <sheetView workbookViewId="0"/>
  </sheetViews>
  <sheetFormatPr defaultRowHeight="15" x14ac:dyDescent="0.25"/>
  <cols>
    <col min="7" max="7" width="15.140625" customWidth="1"/>
  </cols>
  <sheetData>
    <row r="1" spans="1:6" x14ac:dyDescent="0.25">
      <c r="A1" s="15" t="s">
        <v>224</v>
      </c>
    </row>
    <row r="3" spans="1:6" x14ac:dyDescent="0.25">
      <c r="A3" t="s">
        <v>0</v>
      </c>
    </row>
    <row r="4" spans="1:6" x14ac:dyDescent="0.25">
      <c r="A4" t="s">
        <v>1</v>
      </c>
    </row>
    <row r="5" spans="1:6" x14ac:dyDescent="0.25">
      <c r="A5" t="s">
        <v>2</v>
      </c>
      <c r="B5" t="s">
        <v>3</v>
      </c>
      <c r="C5" t="s">
        <v>4</v>
      </c>
      <c r="D5" t="s">
        <v>5</v>
      </c>
    </row>
    <row r="6" spans="1:6" x14ac:dyDescent="0.25">
      <c r="A6" t="s">
        <v>6</v>
      </c>
      <c r="B6">
        <v>14.4</v>
      </c>
      <c r="C6" s="12">
        <v>7.5999999999999998E-2</v>
      </c>
      <c r="D6" s="12">
        <v>7.5999999999999998E-2</v>
      </c>
    </row>
    <row r="7" spans="1:6" x14ac:dyDescent="0.25">
      <c r="A7" t="s">
        <v>7</v>
      </c>
      <c r="B7">
        <v>2.88</v>
      </c>
      <c r="C7" s="13">
        <v>1.4999999999999999E-2</v>
      </c>
      <c r="D7" s="13">
        <v>1.4999999999999999E-2</v>
      </c>
    </row>
    <row r="8" spans="1:6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</row>
    <row r="9" spans="1:6" x14ac:dyDescent="0.25">
      <c r="A9" t="s">
        <v>14</v>
      </c>
      <c r="B9">
        <v>0</v>
      </c>
      <c r="C9">
        <v>1</v>
      </c>
      <c r="D9">
        <v>1</v>
      </c>
      <c r="E9">
        <v>70</v>
      </c>
      <c r="F9">
        <v>30</v>
      </c>
    </row>
    <row r="10" spans="1:6" x14ac:dyDescent="0.25">
      <c r="A10" t="s">
        <v>15</v>
      </c>
    </row>
    <row r="11" spans="1:6" x14ac:dyDescent="0.25">
      <c r="A11" t="s">
        <v>16</v>
      </c>
      <c r="B11" t="s">
        <v>3</v>
      </c>
      <c r="C11" t="s">
        <v>4</v>
      </c>
      <c r="D11" t="s">
        <v>5</v>
      </c>
    </row>
    <row r="12" spans="1:6" x14ac:dyDescent="0.25">
      <c r="A12" t="s">
        <v>6</v>
      </c>
      <c r="B12" s="12">
        <v>3.9E-2</v>
      </c>
      <c r="C12" s="12">
        <v>3.9E-2</v>
      </c>
      <c r="D12" s="12">
        <v>3.9E-2</v>
      </c>
    </row>
    <row r="13" spans="1:6" x14ac:dyDescent="0.25">
      <c r="A13" t="s">
        <v>7</v>
      </c>
      <c r="B13" s="12">
        <v>1.0999999999999999E-2</v>
      </c>
      <c r="C13" s="12">
        <v>1.0999999999999999E-2</v>
      </c>
      <c r="D13" s="12">
        <v>1.0999999999999999E-2</v>
      </c>
    </row>
    <row r="14" spans="1:6" x14ac:dyDescent="0.25">
      <c r="A14" t="s">
        <v>8</v>
      </c>
      <c r="B14" t="s">
        <v>9</v>
      </c>
      <c r="C14" t="s">
        <v>10</v>
      </c>
      <c r="D14" t="s">
        <v>11</v>
      </c>
      <c r="E14" t="s">
        <v>17</v>
      </c>
      <c r="F14" t="s">
        <v>18</v>
      </c>
    </row>
    <row r="15" spans="1:6" x14ac:dyDescent="0.25">
      <c r="A15" t="s">
        <v>14</v>
      </c>
      <c r="B15">
        <v>0</v>
      </c>
      <c r="C15">
        <v>1</v>
      </c>
      <c r="D15">
        <v>1</v>
      </c>
      <c r="E15">
        <v>70</v>
      </c>
      <c r="F15">
        <v>30</v>
      </c>
    </row>
    <row r="16" spans="1:6" x14ac:dyDescent="0.25">
      <c r="A16" t="s">
        <v>19</v>
      </c>
    </row>
    <row r="17" spans="1:6" x14ac:dyDescent="0.25">
      <c r="A17" t="s">
        <v>23</v>
      </c>
      <c r="B17" t="s">
        <v>3</v>
      </c>
      <c r="C17" t="s">
        <v>4</v>
      </c>
      <c r="D17" t="s">
        <v>5</v>
      </c>
    </row>
    <row r="18" spans="1:6" x14ac:dyDescent="0.25">
      <c r="A18" t="s">
        <v>6</v>
      </c>
      <c r="B18" s="12">
        <v>2.1999999999999999E-2</v>
      </c>
      <c r="C18" s="12">
        <v>2.1999999999999999E-2</v>
      </c>
      <c r="D18" s="12">
        <v>2.1999999999999999E-2</v>
      </c>
    </row>
    <row r="19" spans="1:6" x14ac:dyDescent="0.25">
      <c r="A19" t="s">
        <v>7</v>
      </c>
      <c r="B19" s="12">
        <v>8.0000000000000002E-3</v>
      </c>
      <c r="C19" s="12">
        <v>8.0000000000000002E-3</v>
      </c>
      <c r="D19" s="12">
        <v>8.0000000000000002E-3</v>
      </c>
    </row>
    <row r="20" spans="1:6" x14ac:dyDescent="0.25">
      <c r="A20" t="s">
        <v>8</v>
      </c>
      <c r="B20" t="s">
        <v>9</v>
      </c>
      <c r="C20" t="s">
        <v>10</v>
      </c>
      <c r="D20" t="s">
        <v>11</v>
      </c>
      <c r="E20" t="s">
        <v>27</v>
      </c>
      <c r="F20" t="s">
        <v>28</v>
      </c>
    </row>
    <row r="21" spans="1:6" x14ac:dyDescent="0.25">
      <c r="A21" t="s">
        <v>14</v>
      </c>
      <c r="B21">
        <v>1</v>
      </c>
      <c r="C21">
        <v>-0.75</v>
      </c>
      <c r="D21">
        <v>1</v>
      </c>
      <c r="E21">
        <v>120</v>
      </c>
      <c r="F21">
        <v>30</v>
      </c>
    </row>
    <row r="22" spans="1:6" x14ac:dyDescent="0.25">
      <c r="A22" t="s">
        <v>30</v>
      </c>
    </row>
    <row r="23" spans="1:6" x14ac:dyDescent="0.25">
      <c r="A23" t="s">
        <v>31</v>
      </c>
      <c r="B23" t="s">
        <v>32</v>
      </c>
    </row>
    <row r="24" spans="1:6" x14ac:dyDescent="0.25">
      <c r="A24" t="s">
        <v>33</v>
      </c>
      <c r="B24">
        <v>5</v>
      </c>
    </row>
    <row r="25" spans="1:6" x14ac:dyDescent="0.25">
      <c r="A25" t="s">
        <v>34</v>
      </c>
    </row>
    <row r="26" spans="1:6" x14ac:dyDescent="0.25">
      <c r="A26" t="s">
        <v>35</v>
      </c>
      <c r="B26">
        <v>10</v>
      </c>
    </row>
    <row r="27" spans="1:6" x14ac:dyDescent="0.25">
      <c r="A27" t="s">
        <v>20</v>
      </c>
      <c r="B27" t="s">
        <v>21</v>
      </c>
      <c r="C27" t="s">
        <v>22</v>
      </c>
    </row>
    <row r="28" spans="1:6" x14ac:dyDescent="0.25">
      <c r="A28">
        <v>1</v>
      </c>
      <c r="B28" t="s">
        <v>29</v>
      </c>
      <c r="C28">
        <v>1</v>
      </c>
    </row>
    <row r="29" spans="1:6" x14ac:dyDescent="0.25">
      <c r="A29">
        <v>2</v>
      </c>
      <c r="B29" t="s">
        <v>26</v>
      </c>
      <c r="C29">
        <v>2.9</v>
      </c>
    </row>
    <row r="30" spans="1:6" x14ac:dyDescent="0.25">
      <c r="A30">
        <v>3</v>
      </c>
      <c r="B30" t="s">
        <v>25</v>
      </c>
      <c r="C30">
        <v>2.3199999999999998</v>
      </c>
    </row>
    <row r="31" spans="1:6" x14ac:dyDescent="0.25">
      <c r="A31">
        <v>4</v>
      </c>
      <c r="B31" t="s">
        <v>24</v>
      </c>
      <c r="C31">
        <v>1.9</v>
      </c>
    </row>
    <row r="32" spans="1:6" x14ac:dyDescent="0.25">
      <c r="A32">
        <v>5</v>
      </c>
      <c r="B32" t="s">
        <v>36</v>
      </c>
      <c r="C32">
        <v>1</v>
      </c>
    </row>
    <row r="33" spans="1:4" x14ac:dyDescent="0.25">
      <c r="A33">
        <v>6</v>
      </c>
      <c r="B33" t="s">
        <v>37</v>
      </c>
      <c r="C33">
        <v>4</v>
      </c>
    </row>
    <row r="34" spans="1:4" x14ac:dyDescent="0.25">
      <c r="A34">
        <v>7</v>
      </c>
      <c r="B34" t="s">
        <v>38</v>
      </c>
      <c r="C34">
        <v>1</v>
      </c>
    </row>
    <row r="35" spans="1:4" x14ac:dyDescent="0.25">
      <c r="A35">
        <v>8</v>
      </c>
      <c r="B35" t="s">
        <v>39</v>
      </c>
      <c r="C35">
        <v>2</v>
      </c>
    </row>
    <row r="36" spans="1:4" x14ac:dyDescent="0.25">
      <c r="A36">
        <v>9</v>
      </c>
      <c r="B36" t="s">
        <v>40</v>
      </c>
      <c r="C36">
        <v>1</v>
      </c>
    </row>
    <row r="37" spans="1:4" x14ac:dyDescent="0.25">
      <c r="A37">
        <v>10</v>
      </c>
      <c r="B37" t="s">
        <v>41</v>
      </c>
      <c r="C37">
        <v>0.98</v>
      </c>
    </row>
    <row r="38" spans="1:4" x14ac:dyDescent="0.25">
      <c r="A38" t="s">
        <v>42</v>
      </c>
    </row>
    <row r="39" spans="1:4" x14ac:dyDescent="0.25">
      <c r="A39" t="s">
        <v>43</v>
      </c>
      <c r="B39">
        <v>4</v>
      </c>
    </row>
    <row r="40" spans="1:4" x14ac:dyDescent="0.25">
      <c r="A40" t="s">
        <v>44</v>
      </c>
      <c r="B40" t="s">
        <v>21</v>
      </c>
      <c r="C40" t="s">
        <v>45</v>
      </c>
    </row>
    <row r="41" spans="1:4" x14ac:dyDescent="0.25">
      <c r="A41">
        <v>1</v>
      </c>
      <c r="B41" t="s">
        <v>46</v>
      </c>
      <c r="C41">
        <v>1</v>
      </c>
    </row>
    <row r="42" spans="1:4" x14ac:dyDescent="0.25">
      <c r="A42">
        <v>2</v>
      </c>
      <c r="B42" t="s">
        <v>47</v>
      </c>
      <c r="C42">
        <v>1.5</v>
      </c>
    </row>
    <row r="43" spans="1:4" x14ac:dyDescent="0.25">
      <c r="A43">
        <v>3</v>
      </c>
      <c r="B43" t="s">
        <v>48</v>
      </c>
      <c r="C43">
        <v>0.5</v>
      </c>
    </row>
    <row r="44" spans="1:4" x14ac:dyDescent="0.25">
      <c r="A44">
        <v>4</v>
      </c>
      <c r="B44" t="s">
        <v>49</v>
      </c>
      <c r="C44">
        <v>2</v>
      </c>
    </row>
    <row r="45" spans="1:4" x14ac:dyDescent="0.25">
      <c r="A45" t="s">
        <v>50</v>
      </c>
    </row>
    <row r="46" spans="1:4" x14ac:dyDescent="0.25">
      <c r="A46" t="s">
        <v>51</v>
      </c>
      <c r="B46" t="s">
        <v>3</v>
      </c>
      <c r="C46" t="s">
        <v>4</v>
      </c>
      <c r="D46" t="s">
        <v>5</v>
      </c>
    </row>
    <row r="47" spans="1:4" x14ac:dyDescent="0.25">
      <c r="A47" t="s">
        <v>6</v>
      </c>
      <c r="B47">
        <v>1.2E-4</v>
      </c>
      <c r="C47">
        <v>1.2E-4</v>
      </c>
      <c r="D47">
        <v>1.2E-4</v>
      </c>
    </row>
    <row r="48" spans="1:4" x14ac:dyDescent="0.25">
      <c r="A48" t="s">
        <v>7</v>
      </c>
      <c r="B48" s="1">
        <v>3.0000000000000001E-6</v>
      </c>
      <c r="C48" s="1">
        <v>3.0000000000000001E-6</v>
      </c>
      <c r="D48" s="1">
        <v>3.0000000000000001E-6</v>
      </c>
    </row>
    <row r="49" spans="1:6" x14ac:dyDescent="0.25">
      <c r="A49" t="s">
        <v>8</v>
      </c>
      <c r="B49" t="s">
        <v>9</v>
      </c>
      <c r="C49" t="s">
        <v>10</v>
      </c>
      <c r="D49" t="s">
        <v>11</v>
      </c>
      <c r="E49" t="s">
        <v>52</v>
      </c>
      <c r="F49" t="s">
        <v>53</v>
      </c>
    </row>
    <row r="50" spans="1:6" x14ac:dyDescent="0.25">
      <c r="A50" t="s">
        <v>54</v>
      </c>
      <c r="B50">
        <v>0</v>
      </c>
      <c r="C50">
        <v>1</v>
      </c>
      <c r="D50">
        <v>1</v>
      </c>
      <c r="E50">
        <v>50</v>
      </c>
      <c r="F50">
        <v>20</v>
      </c>
    </row>
    <row r="51" spans="1:6" x14ac:dyDescent="0.25">
      <c r="A51" t="s">
        <v>55</v>
      </c>
    </row>
    <row r="52" spans="1:6" x14ac:dyDescent="0.25">
      <c r="A52" t="s">
        <v>56</v>
      </c>
      <c r="B52" t="s">
        <v>57</v>
      </c>
      <c r="C52" t="s">
        <v>58</v>
      </c>
      <c r="D52" t="s">
        <v>59</v>
      </c>
      <c r="E52" t="s">
        <v>60</v>
      </c>
    </row>
    <row r="53" spans="1:6" x14ac:dyDescent="0.25">
      <c r="A53" t="s">
        <v>61</v>
      </c>
      <c r="B53">
        <v>1</v>
      </c>
      <c r="C53">
        <v>1</v>
      </c>
      <c r="D53">
        <v>1</v>
      </c>
      <c r="E53">
        <v>1</v>
      </c>
    </row>
    <row r="54" spans="1:6" x14ac:dyDescent="0.25">
      <c r="A54" t="s">
        <v>62</v>
      </c>
      <c r="B54">
        <v>1</v>
      </c>
      <c r="C54">
        <v>1</v>
      </c>
      <c r="D54">
        <v>1</v>
      </c>
      <c r="E54">
        <v>1</v>
      </c>
    </row>
    <row r="55" spans="1:6" x14ac:dyDescent="0.25">
      <c r="A55" t="s">
        <v>63</v>
      </c>
      <c r="B55">
        <v>1</v>
      </c>
      <c r="C55">
        <v>1</v>
      </c>
      <c r="D55">
        <v>1</v>
      </c>
      <c r="E55">
        <v>1</v>
      </c>
    </row>
    <row r="56" spans="1:6" x14ac:dyDescent="0.25">
      <c r="A56" t="s">
        <v>64</v>
      </c>
      <c r="B56">
        <v>100</v>
      </c>
      <c r="C56">
        <v>1</v>
      </c>
      <c r="D56">
        <v>1</v>
      </c>
      <c r="E56">
        <v>1</v>
      </c>
    </row>
    <row r="57" spans="1:6" x14ac:dyDescent="0.25">
      <c r="A57" t="s">
        <v>65</v>
      </c>
      <c r="B57">
        <v>1</v>
      </c>
      <c r="C57">
        <v>1</v>
      </c>
      <c r="D57">
        <v>1</v>
      </c>
      <c r="E57">
        <v>1</v>
      </c>
    </row>
    <row r="58" spans="1:6" x14ac:dyDescent="0.25">
      <c r="A58" t="s">
        <v>66</v>
      </c>
      <c r="B58">
        <v>1</v>
      </c>
      <c r="C58">
        <v>1</v>
      </c>
      <c r="D58">
        <v>1</v>
      </c>
      <c r="E58">
        <v>1</v>
      </c>
    </row>
    <row r="59" spans="1:6" x14ac:dyDescent="0.25">
      <c r="A59" t="s">
        <v>67</v>
      </c>
      <c r="B59">
        <v>1</v>
      </c>
      <c r="C59">
        <v>1</v>
      </c>
      <c r="D59">
        <v>1</v>
      </c>
      <c r="E59">
        <v>1</v>
      </c>
    </row>
    <row r="60" spans="1:6" x14ac:dyDescent="0.25">
      <c r="A60" t="s">
        <v>68</v>
      </c>
      <c r="B60">
        <v>1</v>
      </c>
      <c r="C60">
        <v>1</v>
      </c>
      <c r="D60">
        <v>1</v>
      </c>
      <c r="E60">
        <v>1</v>
      </c>
    </row>
    <row r="61" spans="1:6" x14ac:dyDescent="0.25">
      <c r="A61" t="s">
        <v>69</v>
      </c>
      <c r="B61">
        <v>1</v>
      </c>
      <c r="C61">
        <v>1</v>
      </c>
      <c r="D61">
        <v>1</v>
      </c>
      <c r="E61">
        <v>1</v>
      </c>
    </row>
    <row r="62" spans="1:6" x14ac:dyDescent="0.25">
      <c r="A62" t="s">
        <v>70</v>
      </c>
      <c r="B62">
        <v>1</v>
      </c>
      <c r="C62">
        <v>1</v>
      </c>
      <c r="D62">
        <v>1</v>
      </c>
      <c r="E62">
        <v>1</v>
      </c>
    </row>
    <row r="63" spans="1:6" x14ac:dyDescent="0.25">
      <c r="A63" t="s">
        <v>71</v>
      </c>
    </row>
    <row r="64" spans="1:6" x14ac:dyDescent="0.25">
      <c r="A64" t="s">
        <v>72</v>
      </c>
      <c r="B64" t="s">
        <v>3</v>
      </c>
      <c r="C64" t="s">
        <v>4</v>
      </c>
      <c r="D64" t="s">
        <v>5</v>
      </c>
    </row>
    <row r="65" spans="1:7" x14ac:dyDescent="0.25">
      <c r="A65" t="s">
        <v>6</v>
      </c>
      <c r="B65" s="1">
        <v>1.0000000000000001E-5</v>
      </c>
      <c r="C65" s="1">
        <v>1.0000000000000001E-5</v>
      </c>
      <c r="D65" s="1">
        <v>1.0000000000000001E-5</v>
      </c>
    </row>
    <row r="66" spans="1:7" x14ac:dyDescent="0.25">
      <c r="A66" t="s">
        <v>7</v>
      </c>
      <c r="B66" s="1">
        <v>9.9999999999999995E-7</v>
      </c>
      <c r="C66" s="1">
        <v>9.9999999999999995E-7</v>
      </c>
      <c r="D66" s="1">
        <v>9.9999999999999995E-7</v>
      </c>
    </row>
    <row r="67" spans="1:7" x14ac:dyDescent="0.25">
      <c r="A67" t="s">
        <v>73</v>
      </c>
      <c r="B67">
        <v>60</v>
      </c>
    </row>
    <row r="68" spans="1:7" x14ac:dyDescent="0.25">
      <c r="A68" t="s">
        <v>74</v>
      </c>
      <c r="B68" t="s">
        <v>57</v>
      </c>
      <c r="C68" t="s">
        <v>58</v>
      </c>
      <c r="D68" t="s">
        <v>59</v>
      </c>
      <c r="E68" t="s">
        <v>60</v>
      </c>
    </row>
    <row r="69" spans="1:7" x14ac:dyDescent="0.25">
      <c r="A69" t="s">
        <v>75</v>
      </c>
      <c r="B69">
        <v>1</v>
      </c>
      <c r="C69">
        <v>0</v>
      </c>
      <c r="D69">
        <v>0</v>
      </c>
      <c r="E69">
        <v>0</v>
      </c>
    </row>
    <row r="70" spans="1:7" x14ac:dyDescent="0.25">
      <c r="A70" t="s">
        <v>76</v>
      </c>
    </row>
    <row r="71" spans="1:7" x14ac:dyDescent="0.25">
      <c r="A71" t="s">
        <v>77</v>
      </c>
      <c r="B71" t="s">
        <v>3</v>
      </c>
      <c r="C71" t="s">
        <v>4</v>
      </c>
      <c r="D71" t="s">
        <v>5</v>
      </c>
    </row>
    <row r="72" spans="1:7" x14ac:dyDescent="0.25">
      <c r="A72" t="s">
        <v>6</v>
      </c>
      <c r="B72">
        <v>1.2E-4</v>
      </c>
      <c r="C72">
        <v>1.2E-4</v>
      </c>
      <c r="D72">
        <v>1.2E-4</v>
      </c>
    </row>
    <row r="73" spans="1:7" x14ac:dyDescent="0.25">
      <c r="A73" t="s">
        <v>7</v>
      </c>
      <c r="B73">
        <v>1.2E-4</v>
      </c>
      <c r="C73">
        <v>1.2E-4</v>
      </c>
      <c r="D73">
        <v>1.2E-4</v>
      </c>
      <c r="G73" s="1"/>
    </row>
    <row r="74" spans="1:7" x14ac:dyDescent="0.25">
      <c r="A74" t="s">
        <v>78</v>
      </c>
      <c r="B74">
        <v>60</v>
      </c>
    </row>
    <row r="75" spans="1:7" x14ac:dyDescent="0.25">
      <c r="A75" t="s">
        <v>79</v>
      </c>
      <c r="B75" t="s">
        <v>57</v>
      </c>
      <c r="C75" t="s">
        <v>58</v>
      </c>
      <c r="D75" t="s">
        <v>59</v>
      </c>
      <c r="E75" t="s">
        <v>60</v>
      </c>
    </row>
    <row r="76" spans="1:7" x14ac:dyDescent="0.25">
      <c r="A76" t="s">
        <v>80</v>
      </c>
      <c r="B76">
        <v>1</v>
      </c>
      <c r="C76">
        <v>0</v>
      </c>
      <c r="D76">
        <v>0</v>
      </c>
      <c r="E76">
        <v>0</v>
      </c>
    </row>
    <row r="77" spans="1:7" x14ac:dyDescent="0.25">
      <c r="A77" t="s">
        <v>81</v>
      </c>
    </row>
    <row r="78" spans="1:7" x14ac:dyDescent="0.25">
      <c r="A78" t="s">
        <v>56</v>
      </c>
      <c r="B78" t="s">
        <v>82</v>
      </c>
      <c r="C78" t="s">
        <v>83</v>
      </c>
    </row>
    <row r="79" spans="1:7" x14ac:dyDescent="0.25">
      <c r="A79" t="s">
        <v>84</v>
      </c>
      <c r="B79">
        <v>0</v>
      </c>
      <c r="C79">
        <v>0</v>
      </c>
    </row>
    <row r="80" spans="1:7" x14ac:dyDescent="0.25">
      <c r="A80" t="s">
        <v>85</v>
      </c>
      <c r="B80">
        <v>0</v>
      </c>
      <c r="C80">
        <v>0</v>
      </c>
    </row>
    <row r="81" spans="1:3" x14ac:dyDescent="0.25">
      <c r="A81" t="s">
        <v>86</v>
      </c>
      <c r="B81">
        <v>0</v>
      </c>
      <c r="C81">
        <v>0</v>
      </c>
    </row>
    <row r="82" spans="1:3" x14ac:dyDescent="0.25">
      <c r="A82" t="s">
        <v>87</v>
      </c>
      <c r="B82">
        <v>1</v>
      </c>
      <c r="C82">
        <v>1</v>
      </c>
    </row>
    <row r="83" spans="1:3" x14ac:dyDescent="0.25">
      <c r="A83" t="s">
        <v>88</v>
      </c>
      <c r="B83">
        <v>0</v>
      </c>
      <c r="C83">
        <v>0</v>
      </c>
    </row>
    <row r="84" spans="1:3" x14ac:dyDescent="0.25">
      <c r="A84" t="s">
        <v>89</v>
      </c>
      <c r="B84">
        <v>0</v>
      </c>
      <c r="C84">
        <v>0</v>
      </c>
    </row>
    <row r="85" spans="1:3" x14ac:dyDescent="0.25">
      <c r="A85" t="s">
        <v>90</v>
      </c>
      <c r="B85">
        <v>0</v>
      </c>
      <c r="C85">
        <v>0</v>
      </c>
    </row>
    <row r="86" spans="1:3" x14ac:dyDescent="0.25">
      <c r="A86" t="s">
        <v>91</v>
      </c>
      <c r="B86">
        <v>0</v>
      </c>
      <c r="C86">
        <v>0</v>
      </c>
    </row>
    <row r="87" spans="1:3" x14ac:dyDescent="0.25">
      <c r="A87" t="s">
        <v>92</v>
      </c>
      <c r="B87">
        <v>0</v>
      </c>
      <c r="C87">
        <v>0</v>
      </c>
    </row>
    <row r="88" spans="1:3" x14ac:dyDescent="0.25">
      <c r="A88" t="s">
        <v>93</v>
      </c>
    </row>
    <row r="89" spans="1:3" x14ac:dyDescent="0.25">
      <c r="A89" t="s">
        <v>94</v>
      </c>
      <c r="B89" t="s">
        <v>32</v>
      </c>
    </row>
    <row r="90" spans="1:3" x14ac:dyDescent="0.25">
      <c r="A90" t="s">
        <v>95</v>
      </c>
      <c r="B90">
        <v>0.75</v>
      </c>
    </row>
    <row r="91" spans="1:3" x14ac:dyDescent="0.25">
      <c r="A91" t="s">
        <v>96</v>
      </c>
      <c r="B91">
        <v>0.75</v>
      </c>
    </row>
    <row r="92" spans="1:3" x14ac:dyDescent="0.25">
      <c r="A92" t="s">
        <v>97</v>
      </c>
      <c r="B92">
        <v>0.75</v>
      </c>
    </row>
    <row r="93" spans="1:3" x14ac:dyDescent="0.25">
      <c r="A93" t="s">
        <v>98</v>
      </c>
      <c r="B93">
        <v>0</v>
      </c>
    </row>
    <row r="94" spans="1:3" x14ac:dyDescent="0.25">
      <c r="A94" t="s">
        <v>99</v>
      </c>
      <c r="B94">
        <v>0</v>
      </c>
    </row>
    <row r="95" spans="1:3" x14ac:dyDescent="0.25">
      <c r="A95" t="s">
        <v>100</v>
      </c>
      <c r="B95">
        <v>0.98</v>
      </c>
    </row>
    <row r="96" spans="1:3" x14ac:dyDescent="0.25">
      <c r="A96" t="s">
        <v>101</v>
      </c>
    </row>
    <row r="97" spans="1:5" x14ac:dyDescent="0.25">
      <c r="A97" t="s">
        <v>56</v>
      </c>
      <c r="B97" t="s">
        <v>102</v>
      </c>
      <c r="C97" t="s">
        <v>103</v>
      </c>
      <c r="D97" t="s">
        <v>104</v>
      </c>
      <c r="E97" t="s">
        <v>60</v>
      </c>
    </row>
    <row r="98" spans="1:5" x14ac:dyDescent="0.25">
      <c r="A98" t="s">
        <v>105</v>
      </c>
      <c r="B98">
        <v>1</v>
      </c>
      <c r="C98">
        <v>1</v>
      </c>
      <c r="D98" s="12">
        <v>0.5</v>
      </c>
      <c r="E98" s="12">
        <v>0.27</v>
      </c>
    </row>
    <row r="99" spans="1:5" x14ac:dyDescent="0.25">
      <c r="A99" t="s">
        <v>106</v>
      </c>
      <c r="B99">
        <v>1</v>
      </c>
      <c r="C99">
        <v>1</v>
      </c>
      <c r="D99" s="12">
        <v>0.6</v>
      </c>
      <c r="E99" s="12">
        <v>0.42</v>
      </c>
    </row>
    <row r="100" spans="1:5" x14ac:dyDescent="0.25">
      <c r="A100" t="s">
        <v>107</v>
      </c>
      <c r="B100">
        <v>1</v>
      </c>
      <c r="C100">
        <v>1</v>
      </c>
      <c r="D100" s="12">
        <v>0.98</v>
      </c>
      <c r="E100" s="12">
        <v>0.39</v>
      </c>
    </row>
    <row r="101" spans="1:5" x14ac:dyDescent="0.25">
      <c r="A101" t="s">
        <v>108</v>
      </c>
      <c r="B101">
        <v>1</v>
      </c>
      <c r="C101">
        <v>0.05</v>
      </c>
      <c r="D101">
        <v>4.0000000000000001E-3</v>
      </c>
      <c r="E101">
        <v>1E-3</v>
      </c>
    </row>
    <row r="102" spans="1:5" x14ac:dyDescent="0.25">
      <c r="A102" t="s">
        <v>109</v>
      </c>
      <c r="B102">
        <v>1</v>
      </c>
      <c r="C102">
        <v>1</v>
      </c>
      <c r="D102">
        <v>0.2</v>
      </c>
      <c r="E102">
        <v>0.04</v>
      </c>
    </row>
    <row r="103" spans="1:5" x14ac:dyDescent="0.25">
      <c r="A103" t="s">
        <v>110</v>
      </c>
      <c r="B103">
        <v>1</v>
      </c>
      <c r="C103">
        <v>1</v>
      </c>
      <c r="D103">
        <v>0.28000000000000003</v>
      </c>
      <c r="E103">
        <v>2.24E-2</v>
      </c>
    </row>
    <row r="104" spans="1:5" x14ac:dyDescent="0.25">
      <c r="A104" t="s">
        <v>111</v>
      </c>
      <c r="B104">
        <v>1</v>
      </c>
      <c r="C104">
        <v>1</v>
      </c>
      <c r="D104">
        <v>1</v>
      </c>
      <c r="E104">
        <v>1</v>
      </c>
    </row>
    <row r="105" spans="1:5" x14ac:dyDescent="0.25">
      <c r="A105" t="s">
        <v>112</v>
      </c>
      <c r="B105">
        <v>1</v>
      </c>
      <c r="C105">
        <v>1</v>
      </c>
      <c r="D105">
        <v>0.28000000000000003</v>
      </c>
      <c r="E105">
        <v>2.24E-2</v>
      </c>
    </row>
    <row r="106" spans="1:5" x14ac:dyDescent="0.25">
      <c r="A106" t="s">
        <v>113</v>
      </c>
      <c r="B106">
        <v>1</v>
      </c>
      <c r="C106">
        <v>1</v>
      </c>
      <c r="D106">
        <v>0.28000000000000003</v>
      </c>
      <c r="E106">
        <v>2.24E-2</v>
      </c>
    </row>
    <row r="107" spans="1:5" x14ac:dyDescent="0.25">
      <c r="A107" t="s">
        <v>114</v>
      </c>
      <c r="B107">
        <v>1</v>
      </c>
      <c r="C107">
        <v>0.1</v>
      </c>
      <c r="D107">
        <v>0.02</v>
      </c>
      <c r="E107">
        <v>3.0000000000000001E-3</v>
      </c>
    </row>
    <row r="108" spans="1:5" x14ac:dyDescent="0.25">
      <c r="A108" t="s">
        <v>115</v>
      </c>
      <c r="B108">
        <v>1</v>
      </c>
      <c r="C108">
        <v>1</v>
      </c>
      <c r="D108">
        <v>0.28000000000000003</v>
      </c>
      <c r="E108">
        <v>2.24E-2</v>
      </c>
    </row>
    <row r="109" spans="1:5" x14ac:dyDescent="0.25">
      <c r="A109" t="s">
        <v>116</v>
      </c>
      <c r="B109">
        <v>50</v>
      </c>
    </row>
    <row r="110" spans="1:5" x14ac:dyDescent="0.25">
      <c r="A110" t="s">
        <v>117</v>
      </c>
      <c r="B110">
        <v>0</v>
      </c>
    </row>
    <row r="111" spans="1:5" x14ac:dyDescent="0.25">
      <c r="A111" t="s">
        <v>118</v>
      </c>
    </row>
    <row r="112" spans="1:5" x14ac:dyDescent="0.25">
      <c r="A112" t="s">
        <v>31</v>
      </c>
      <c r="B112" t="s">
        <v>32</v>
      </c>
    </row>
    <row r="113" spans="1:5" x14ac:dyDescent="0.25">
      <c r="A113" t="s">
        <v>119</v>
      </c>
      <c r="B113">
        <v>12</v>
      </c>
    </row>
    <row r="114" spans="1:5" x14ac:dyDescent="0.25">
      <c r="A114" t="s">
        <v>120</v>
      </c>
      <c r="B114">
        <v>5</v>
      </c>
    </row>
    <row r="115" spans="1:5" x14ac:dyDescent="0.25">
      <c r="A115" t="s">
        <v>121</v>
      </c>
    </row>
    <row r="116" spans="1:5" x14ac:dyDescent="0.25">
      <c r="A116" t="s">
        <v>122</v>
      </c>
      <c r="B116" t="s">
        <v>57</v>
      </c>
      <c r="C116" t="s">
        <v>58</v>
      </c>
      <c r="D116" t="s">
        <v>59</v>
      </c>
      <c r="E116" t="s">
        <v>60</v>
      </c>
    </row>
    <row r="117" spans="1:5" x14ac:dyDescent="0.25">
      <c r="A117" t="s">
        <v>123</v>
      </c>
      <c r="B117">
        <v>0.5</v>
      </c>
      <c r="C117">
        <v>0.01</v>
      </c>
      <c r="D117">
        <v>0.01</v>
      </c>
      <c r="E117">
        <v>0.01</v>
      </c>
    </row>
    <row r="118" spans="1:5" x14ac:dyDescent="0.25">
      <c r="A118" t="s">
        <v>124</v>
      </c>
      <c r="B118">
        <v>0.5</v>
      </c>
      <c r="C118">
        <v>1E-3</v>
      </c>
      <c r="D118">
        <v>1E-3</v>
      </c>
      <c r="E118">
        <v>1E-3</v>
      </c>
    </row>
    <row r="119" spans="1:5" x14ac:dyDescent="0.25">
      <c r="A119" t="s">
        <v>125</v>
      </c>
      <c r="B119">
        <v>0.05</v>
      </c>
      <c r="C119">
        <v>5.0000000000000001E-3</v>
      </c>
      <c r="D119">
        <v>5.0000000000000001E-3</v>
      </c>
      <c r="E119">
        <v>5.0000000000000001E-3</v>
      </c>
    </row>
    <row r="120" spans="1:5" x14ac:dyDescent="0.25">
      <c r="A120" t="s">
        <v>126</v>
      </c>
      <c r="B120">
        <v>0.1</v>
      </c>
      <c r="C120">
        <v>0.1</v>
      </c>
      <c r="D120">
        <v>0.1</v>
      </c>
      <c r="E120">
        <v>0.1</v>
      </c>
    </row>
    <row r="121" spans="1:5" x14ac:dyDescent="0.25">
      <c r="A121" t="s">
        <v>127</v>
      </c>
      <c r="B121" t="s">
        <v>128</v>
      </c>
      <c r="C121" t="s">
        <v>129</v>
      </c>
    </row>
    <row r="122" spans="1:5" x14ac:dyDescent="0.25">
      <c r="A122" t="s">
        <v>123</v>
      </c>
      <c r="B122">
        <v>0.3</v>
      </c>
      <c r="C122">
        <v>0.3</v>
      </c>
    </row>
    <row r="123" spans="1:5" x14ac:dyDescent="0.25">
      <c r="A123" t="s">
        <v>124</v>
      </c>
      <c r="B123">
        <v>0.2</v>
      </c>
      <c r="C123">
        <v>0.2</v>
      </c>
    </row>
    <row r="124" spans="1:5" x14ac:dyDescent="0.25">
      <c r="A124" t="s">
        <v>125</v>
      </c>
      <c r="B124">
        <v>1</v>
      </c>
      <c r="C124">
        <v>1</v>
      </c>
    </row>
    <row r="125" spans="1:5" x14ac:dyDescent="0.25">
      <c r="A125" t="s">
        <v>126</v>
      </c>
      <c r="B125">
        <v>1</v>
      </c>
      <c r="C125">
        <v>1</v>
      </c>
    </row>
    <row r="126" spans="1:5" x14ac:dyDescent="0.25">
      <c r="A126" t="s">
        <v>130</v>
      </c>
    </row>
    <row r="127" spans="1:5" x14ac:dyDescent="0.25">
      <c r="B127" t="s">
        <v>58</v>
      </c>
      <c r="C127" t="s">
        <v>59</v>
      </c>
      <c r="D127" t="s">
        <v>60</v>
      </c>
    </row>
    <row r="128" spans="1:5" x14ac:dyDescent="0.25">
      <c r="A128" t="s">
        <v>131</v>
      </c>
      <c r="B128">
        <v>3.0000000000000001E-3</v>
      </c>
      <c r="C128">
        <v>1E-3</v>
      </c>
      <c r="D128">
        <v>5.0000000000000001E-4</v>
      </c>
    </row>
    <row r="129" spans="1:10" x14ac:dyDescent="0.25">
      <c r="A129" t="s">
        <v>132</v>
      </c>
    </row>
    <row r="130" spans="1:10" x14ac:dyDescent="0.25">
      <c r="A130" t="s">
        <v>31</v>
      </c>
      <c r="B130" t="s">
        <v>32</v>
      </c>
    </row>
    <row r="131" spans="1:10" x14ac:dyDescent="0.25">
      <c r="A131" t="s">
        <v>133</v>
      </c>
      <c r="B131">
        <v>5</v>
      </c>
    </row>
    <row r="132" spans="1:10" x14ac:dyDescent="0.25">
      <c r="A132" t="s">
        <v>134</v>
      </c>
      <c r="B132">
        <v>50</v>
      </c>
    </row>
    <row r="134" spans="1:10" x14ac:dyDescent="0.25">
      <c r="A134" t="s">
        <v>135</v>
      </c>
    </row>
    <row r="135" spans="1:10" x14ac:dyDescent="0.25">
      <c r="A135" t="s">
        <v>136</v>
      </c>
    </row>
    <row r="136" spans="1:10" x14ac:dyDescent="0.25">
      <c r="A136" t="s">
        <v>31</v>
      </c>
      <c r="B136" t="s">
        <v>137</v>
      </c>
      <c r="C136" t="s">
        <v>138</v>
      </c>
      <c r="D136" t="s">
        <v>139</v>
      </c>
    </row>
    <row r="137" spans="1:10" x14ac:dyDescent="0.25">
      <c r="A137" t="s">
        <v>140</v>
      </c>
      <c r="B137">
        <v>1.2012E-4</v>
      </c>
      <c r="C137">
        <v>1.2012E-4</v>
      </c>
      <c r="D137" s="1">
        <v>1.2012E-5</v>
      </c>
    </row>
    <row r="138" spans="1:10" x14ac:dyDescent="0.25">
      <c r="A138" t="s">
        <v>141</v>
      </c>
      <c r="B138" s="1">
        <v>2.0020000000000001E-5</v>
      </c>
      <c r="C138" s="1">
        <v>2.0020000000000001E-5</v>
      </c>
      <c r="D138" s="1">
        <v>2.0020000000000001E-6</v>
      </c>
      <c r="I138" s="1"/>
      <c r="J138" s="1"/>
    </row>
    <row r="139" spans="1:10" x14ac:dyDescent="0.25">
      <c r="A139" t="s">
        <v>142</v>
      </c>
      <c r="B139">
        <v>80</v>
      </c>
      <c r="C139">
        <v>80</v>
      </c>
      <c r="D139">
        <v>80</v>
      </c>
    </row>
    <row r="140" spans="1:10" x14ac:dyDescent="0.25">
      <c r="A140" t="s">
        <v>143</v>
      </c>
      <c r="B140">
        <v>0.05</v>
      </c>
      <c r="C140">
        <v>0.05</v>
      </c>
      <c r="D140">
        <v>0.05</v>
      </c>
    </row>
    <row r="141" spans="1:10" x14ac:dyDescent="0.25">
      <c r="A141" t="s">
        <v>144</v>
      </c>
      <c r="B141">
        <v>3</v>
      </c>
      <c r="C141">
        <v>3</v>
      </c>
      <c r="D141">
        <v>3</v>
      </c>
    </row>
    <row r="142" spans="1:10" x14ac:dyDescent="0.25">
      <c r="A142" t="s">
        <v>145</v>
      </c>
      <c r="B142">
        <v>10</v>
      </c>
      <c r="C142">
        <v>10</v>
      </c>
      <c r="D142">
        <v>10</v>
      </c>
    </row>
    <row r="143" spans="1:10" x14ac:dyDescent="0.25">
      <c r="A143" t="s">
        <v>146</v>
      </c>
    </row>
    <row r="144" spans="1:10" x14ac:dyDescent="0.25">
      <c r="A144" t="s">
        <v>31</v>
      </c>
      <c r="B144" t="s">
        <v>147</v>
      </c>
      <c r="C144" t="s">
        <v>148</v>
      </c>
    </row>
    <row r="145" spans="1:4" x14ac:dyDescent="0.25">
      <c r="A145" t="s">
        <v>149</v>
      </c>
      <c r="B145">
        <v>0.6</v>
      </c>
      <c r="C145">
        <v>0.2</v>
      </c>
    </row>
    <row r="146" spans="1:4" x14ac:dyDescent="0.25">
      <c r="A146" t="s">
        <v>150</v>
      </c>
      <c r="B146">
        <v>2</v>
      </c>
    </row>
    <row r="147" spans="1:4" x14ac:dyDescent="0.25">
      <c r="A147" t="s">
        <v>151</v>
      </c>
      <c r="B147">
        <v>12</v>
      </c>
    </row>
    <row r="148" spans="1:4" x14ac:dyDescent="0.25">
      <c r="A148" t="s">
        <v>152</v>
      </c>
    </row>
    <row r="149" spans="1:4" x14ac:dyDescent="0.25">
      <c r="A149" t="s">
        <v>31</v>
      </c>
      <c r="B149" t="s">
        <v>137</v>
      </c>
      <c r="C149" t="s">
        <v>138</v>
      </c>
      <c r="D149" t="s">
        <v>139</v>
      </c>
    </row>
    <row r="150" spans="1:4" x14ac:dyDescent="0.25">
      <c r="A150" t="s">
        <v>153</v>
      </c>
      <c r="B150">
        <v>0.5</v>
      </c>
      <c r="C150">
        <v>0.8</v>
      </c>
      <c r="D150">
        <v>0.3</v>
      </c>
    </row>
    <row r="151" spans="1:4" x14ac:dyDescent="0.25">
      <c r="A151" t="s">
        <v>154</v>
      </c>
      <c r="B151">
        <v>100</v>
      </c>
      <c r="C151">
        <v>3</v>
      </c>
      <c r="D151">
        <v>3</v>
      </c>
    </row>
    <row r="152" spans="1:4" x14ac:dyDescent="0.25">
      <c r="A152" t="s">
        <v>155</v>
      </c>
    </row>
    <row r="153" spans="1:4" x14ac:dyDescent="0.25">
      <c r="A153" t="s">
        <v>31</v>
      </c>
      <c r="B153" t="s">
        <v>32</v>
      </c>
    </row>
    <row r="154" spans="1:4" x14ac:dyDescent="0.25">
      <c r="A154" t="s">
        <v>156</v>
      </c>
      <c r="B154">
        <v>0.02</v>
      </c>
    </row>
    <row r="155" spans="1:4" x14ac:dyDescent="0.25">
      <c r="A155" t="s">
        <v>157</v>
      </c>
      <c r="B155">
        <v>10</v>
      </c>
    </row>
    <row r="156" spans="1:4" x14ac:dyDescent="0.25">
      <c r="A156" t="s">
        <v>158</v>
      </c>
      <c r="B156">
        <v>0.4</v>
      </c>
    </row>
    <row r="157" spans="1:4" x14ac:dyDescent="0.25">
      <c r="A157" t="s">
        <v>159</v>
      </c>
      <c r="B157">
        <v>0</v>
      </c>
    </row>
    <row r="158" spans="1:4" x14ac:dyDescent="0.25">
      <c r="A158" t="s">
        <v>160</v>
      </c>
      <c r="B158">
        <v>48</v>
      </c>
    </row>
    <row r="159" spans="1:4" x14ac:dyDescent="0.25">
      <c r="A159" t="s">
        <v>161</v>
      </c>
      <c r="B159" t="s">
        <v>162</v>
      </c>
      <c r="C159" t="s">
        <v>163</v>
      </c>
      <c r="D159" t="s">
        <v>164</v>
      </c>
    </row>
    <row r="160" spans="1:4" x14ac:dyDescent="0.25">
      <c r="A160" t="s">
        <v>161</v>
      </c>
      <c r="B160">
        <v>2400</v>
      </c>
      <c r="C160">
        <v>800</v>
      </c>
      <c r="D160">
        <v>2</v>
      </c>
    </row>
    <row r="161" spans="1:4" x14ac:dyDescent="0.25">
      <c r="A161" t="s">
        <v>165</v>
      </c>
      <c r="B161" t="s">
        <v>6</v>
      </c>
      <c r="C161" t="s">
        <v>7</v>
      </c>
    </row>
    <row r="162" spans="1:4" x14ac:dyDescent="0.25">
      <c r="A162" t="s">
        <v>166</v>
      </c>
      <c r="B162">
        <v>0.01</v>
      </c>
      <c r="C162">
        <v>1E-3</v>
      </c>
    </row>
    <row r="163" spans="1:4" x14ac:dyDescent="0.25">
      <c r="A163" t="s">
        <v>167</v>
      </c>
      <c r="B163">
        <v>150</v>
      </c>
      <c r="C163">
        <v>50</v>
      </c>
    </row>
    <row r="164" spans="1:4" x14ac:dyDescent="0.25">
      <c r="A164" t="s">
        <v>168</v>
      </c>
    </row>
    <row r="165" spans="1:4" x14ac:dyDescent="0.25">
      <c r="A165" t="s">
        <v>31</v>
      </c>
      <c r="B165" t="s">
        <v>169</v>
      </c>
      <c r="C165" t="s">
        <v>170</v>
      </c>
      <c r="D165" t="s">
        <v>171</v>
      </c>
    </row>
    <row r="166" spans="1:4" x14ac:dyDescent="0.25">
      <c r="A166" t="s">
        <v>172</v>
      </c>
      <c r="B166">
        <v>0.06</v>
      </c>
      <c r="C166">
        <v>0.5</v>
      </c>
      <c r="D166">
        <v>250</v>
      </c>
    </row>
    <row r="167" spans="1:4" x14ac:dyDescent="0.25">
      <c r="A167" t="s">
        <v>173</v>
      </c>
      <c r="B167">
        <v>0.02</v>
      </c>
      <c r="C167">
        <v>0.3</v>
      </c>
      <c r="D167">
        <v>50</v>
      </c>
    </row>
    <row r="168" spans="1:4" x14ac:dyDescent="0.25">
      <c r="A168" t="s">
        <v>174</v>
      </c>
    </row>
    <row r="169" spans="1:4" x14ac:dyDescent="0.25">
      <c r="A169" t="s">
        <v>175</v>
      </c>
      <c r="B169">
        <v>0.4</v>
      </c>
      <c r="C169">
        <v>0.4</v>
      </c>
    </row>
    <row r="170" spans="1:4" x14ac:dyDescent="0.25">
      <c r="A170" t="s">
        <v>176</v>
      </c>
    </row>
    <row r="171" spans="1:4" x14ac:dyDescent="0.25">
      <c r="A171" t="s">
        <v>177</v>
      </c>
    </row>
    <row r="172" spans="1:4" x14ac:dyDescent="0.25">
      <c r="A172" t="s">
        <v>178</v>
      </c>
      <c r="B172" t="s">
        <v>179</v>
      </c>
      <c r="C172" t="s">
        <v>180</v>
      </c>
    </row>
    <row r="173" spans="1:4" x14ac:dyDescent="0.25">
      <c r="A173" t="s">
        <v>149</v>
      </c>
      <c r="B173">
        <v>1</v>
      </c>
      <c r="C173">
        <v>1</v>
      </c>
    </row>
    <row r="174" spans="1:4" x14ac:dyDescent="0.25">
      <c r="A174" t="s">
        <v>51</v>
      </c>
      <c r="B174">
        <v>1</v>
      </c>
    </row>
    <row r="175" spans="1:4" x14ac:dyDescent="0.25">
      <c r="A175" t="s">
        <v>181</v>
      </c>
      <c r="B175">
        <v>1</v>
      </c>
    </row>
    <row r="176" spans="1:4" x14ac:dyDescent="0.25">
      <c r="A176" t="s">
        <v>182</v>
      </c>
      <c r="B176">
        <v>1</v>
      </c>
    </row>
    <row r="177" spans="1:5" x14ac:dyDescent="0.25">
      <c r="A177" t="s">
        <v>183</v>
      </c>
      <c r="B177">
        <v>1</v>
      </c>
    </row>
    <row r="178" spans="1:5" x14ac:dyDescent="0.25">
      <c r="A178" t="s">
        <v>184</v>
      </c>
    </row>
    <row r="179" spans="1:5" x14ac:dyDescent="0.25">
      <c r="A179" t="s">
        <v>185</v>
      </c>
      <c r="B179" t="s">
        <v>186</v>
      </c>
      <c r="C179" t="s">
        <v>187</v>
      </c>
      <c r="D179" t="s">
        <v>188</v>
      </c>
      <c r="E179" t="s">
        <v>189</v>
      </c>
    </row>
    <row r="180" spans="1:5" x14ac:dyDescent="0.25">
      <c r="A180" t="s">
        <v>190</v>
      </c>
      <c r="B180">
        <v>1</v>
      </c>
      <c r="C180">
        <v>1</v>
      </c>
      <c r="D180">
        <v>1</v>
      </c>
      <c r="E180">
        <v>0.01</v>
      </c>
    </row>
    <row r="181" spans="1:5" x14ac:dyDescent="0.25">
      <c r="A181" t="s">
        <v>191</v>
      </c>
      <c r="B181">
        <v>0</v>
      </c>
      <c r="C181">
        <v>0.9</v>
      </c>
      <c r="D181">
        <v>0.9</v>
      </c>
      <c r="E181">
        <v>0.01</v>
      </c>
    </row>
    <row r="182" spans="1:5" x14ac:dyDescent="0.25">
      <c r="A182" t="s">
        <v>192</v>
      </c>
      <c r="B182">
        <v>0</v>
      </c>
      <c r="C182">
        <v>0.1</v>
      </c>
      <c r="D182">
        <v>0.08</v>
      </c>
      <c r="E182">
        <v>0.01</v>
      </c>
    </row>
    <row r="183" spans="1:5" x14ac:dyDescent="0.25">
      <c r="A183" t="s">
        <v>193</v>
      </c>
      <c r="B183">
        <v>0</v>
      </c>
      <c r="C183">
        <v>0</v>
      </c>
      <c r="D183">
        <v>0.01</v>
      </c>
      <c r="E183">
        <v>0.01</v>
      </c>
    </row>
    <row r="184" spans="1:5" x14ac:dyDescent="0.25">
      <c r="A184" t="s">
        <v>194</v>
      </c>
      <c r="B184">
        <v>0</v>
      </c>
      <c r="C184">
        <v>0</v>
      </c>
      <c r="D184">
        <v>0.01</v>
      </c>
      <c r="E184">
        <v>0.01</v>
      </c>
    </row>
    <row r="185" spans="1:5" x14ac:dyDescent="0.25">
      <c r="A185" t="s">
        <v>185</v>
      </c>
      <c r="B185" t="s">
        <v>195</v>
      </c>
      <c r="C185" t="s">
        <v>196</v>
      </c>
      <c r="D185" t="s">
        <v>197</v>
      </c>
      <c r="E185" t="s">
        <v>197</v>
      </c>
    </row>
    <row r="186" spans="1:5" x14ac:dyDescent="0.25">
      <c r="A186" t="s">
        <v>190</v>
      </c>
      <c r="B186">
        <v>1</v>
      </c>
      <c r="C186">
        <v>1</v>
      </c>
      <c r="D186">
        <v>0</v>
      </c>
      <c r="E186">
        <v>0</v>
      </c>
    </row>
    <row r="187" spans="1:5" x14ac:dyDescent="0.25">
      <c r="A187" t="s">
        <v>191</v>
      </c>
      <c r="B187">
        <v>1</v>
      </c>
      <c r="C187">
        <v>1</v>
      </c>
      <c r="D187">
        <v>0</v>
      </c>
      <c r="E187">
        <v>0</v>
      </c>
    </row>
    <row r="188" spans="1:5" x14ac:dyDescent="0.25">
      <c r="A188" t="s">
        <v>192</v>
      </c>
      <c r="B188">
        <v>100</v>
      </c>
      <c r="C188">
        <v>100</v>
      </c>
      <c r="D188">
        <v>0</v>
      </c>
      <c r="E188">
        <v>0</v>
      </c>
    </row>
    <row r="189" spans="1:5" x14ac:dyDescent="0.25">
      <c r="A189" t="s">
        <v>193</v>
      </c>
      <c r="B189">
        <v>0.1</v>
      </c>
      <c r="C189">
        <v>1</v>
      </c>
      <c r="D189">
        <v>0</v>
      </c>
      <c r="E189">
        <v>0</v>
      </c>
    </row>
    <row r="190" spans="1:5" x14ac:dyDescent="0.25">
      <c r="A190" t="s">
        <v>194</v>
      </c>
      <c r="B190">
        <v>0.1</v>
      </c>
      <c r="C190">
        <v>1</v>
      </c>
      <c r="D190">
        <v>0</v>
      </c>
      <c r="E19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Tabulated calculation</vt:lpstr>
      <vt:lpstr>Parameters_NORTRIP</vt:lpstr>
      <vt:lpstr>Parameters_EMEP-EEA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Rolstad Denby</dc:creator>
  <cp:lastModifiedBy>Bruce Rolstad Denby</cp:lastModifiedBy>
  <dcterms:created xsi:type="dcterms:W3CDTF">2025-04-29T07:58:24Z</dcterms:created>
  <dcterms:modified xsi:type="dcterms:W3CDTF">2025-10-31T10:34:02Z</dcterms:modified>
</cp:coreProperties>
</file>